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xr:revisionPtr revIDLastSave="0" documentId="8_{1A9DA7AB-98A0-4914-8498-8E1C155FA25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ense report" sheetId="2" r:id="rId1"/>
    <sheet name="Per Diem (USD$)" sheetId="4" r:id="rId2"/>
    <sheet name="Per Diem (Mixed Currency)" sheetId="5" r:id="rId3"/>
    <sheet name="Expense Descriptions" sheetId="3" r:id="rId4"/>
  </sheets>
  <definedNames>
    <definedName name="_xlnm.Print_Area" localSheetId="2">'Per Diem (Mixed Currency)'!$A$1:$I$16</definedName>
    <definedName name="_xlnm.Print_Area" localSheetId="1">'Per Diem (USD$)'!$A$1:$H$13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2" l="1"/>
  <c r="Q21" i="2" l="1"/>
  <c r="P21" i="2"/>
  <c r="O21" i="2"/>
  <c r="N21" i="2"/>
  <c r="M21" i="2"/>
  <c r="K21" i="2"/>
  <c r="J21" i="2"/>
  <c r="I21" i="2"/>
  <c r="H21" i="2"/>
  <c r="H14" i="5" l="1"/>
  <c r="G13" i="5"/>
  <c r="F13" i="5"/>
  <c r="E13" i="5"/>
  <c r="D13" i="5"/>
  <c r="H12" i="5"/>
  <c r="G11" i="5"/>
  <c r="F11" i="5"/>
  <c r="E11" i="5"/>
  <c r="D11" i="5"/>
  <c r="H10" i="5"/>
  <c r="G9" i="5"/>
  <c r="F9" i="5"/>
  <c r="E9" i="5"/>
  <c r="D9" i="5"/>
  <c r="H8" i="5"/>
  <c r="P38" i="2" s="1"/>
  <c r="P39" i="2" s="1"/>
  <c r="H7" i="5"/>
  <c r="G6" i="5"/>
  <c r="F6" i="5"/>
  <c r="E6" i="5"/>
  <c r="D6" i="5"/>
  <c r="F5" i="5"/>
  <c r="E5" i="5"/>
  <c r="D5" i="5"/>
  <c r="G11" i="4"/>
  <c r="G10" i="4"/>
  <c r="G9" i="4"/>
  <c r="G8" i="4"/>
  <c r="G7" i="4"/>
  <c r="F6" i="4"/>
  <c r="E6" i="4"/>
  <c r="D6" i="4"/>
  <c r="C6" i="4"/>
  <c r="G5" i="5"/>
  <c r="G6" i="4" l="1"/>
  <c r="O38" i="2"/>
  <c r="H5" i="5"/>
  <c r="G5" i="4"/>
  <c r="O39" i="2" l="1"/>
  <c r="V31" i="2"/>
  <c r="L29" i="2"/>
  <c r="L28" i="2"/>
  <c r="L27" i="2"/>
  <c r="L26" i="2"/>
  <c r="L25" i="2"/>
  <c r="L24" i="2"/>
  <c r="L23" i="2"/>
  <c r="L22" i="2"/>
  <c r="T29" i="2" l="1"/>
  <c r="T28" i="2"/>
  <c r="T27" i="2"/>
  <c r="T26" i="2"/>
  <c r="T25" i="2"/>
  <c r="T24" i="2"/>
  <c r="T23" i="2"/>
  <c r="T22" i="2"/>
  <c r="T21" i="2"/>
  <c r="T20" i="2"/>
  <c r="T19" i="2"/>
  <c r="T18" i="2"/>
  <c r="T17" i="2"/>
  <c r="J29" i="2"/>
  <c r="I29" i="2"/>
  <c r="H29" i="2"/>
  <c r="G29" i="2"/>
  <c r="J28" i="2"/>
  <c r="I28" i="2"/>
  <c r="H28" i="2"/>
  <c r="G28" i="2"/>
  <c r="R27" i="2"/>
  <c r="J27" i="2"/>
  <c r="I27" i="2"/>
  <c r="H27" i="2"/>
  <c r="G27" i="2"/>
  <c r="K26" i="2"/>
  <c r="J26" i="2"/>
  <c r="I26" i="2"/>
  <c r="H26" i="2"/>
  <c r="G26" i="2"/>
  <c r="J25" i="2"/>
  <c r="I25" i="2"/>
  <c r="H25" i="2"/>
  <c r="G25" i="2"/>
  <c r="J24" i="2"/>
  <c r="I24" i="2"/>
  <c r="H24" i="2"/>
  <c r="G24" i="2"/>
  <c r="N23" i="2"/>
  <c r="J23" i="2"/>
  <c r="I23" i="2"/>
  <c r="H23" i="2"/>
  <c r="G23" i="2"/>
  <c r="J22" i="2"/>
  <c r="I22" i="2"/>
  <c r="H22" i="2"/>
  <c r="G22" i="2"/>
  <c r="J20" i="2"/>
  <c r="I20" i="2"/>
  <c r="H20" i="2"/>
  <c r="G20" i="2"/>
  <c r="J19" i="2"/>
  <c r="I19" i="2"/>
  <c r="H19" i="2"/>
  <c r="G19" i="2"/>
  <c r="S18" i="2"/>
  <c r="J18" i="2"/>
  <c r="I18" i="2"/>
  <c r="H18" i="2"/>
  <c r="G18" i="2"/>
  <c r="G17" i="2"/>
  <c r="H17" i="2"/>
  <c r="I17" i="2"/>
  <c r="J17" i="2"/>
  <c r="R17" i="2"/>
  <c r="G16" i="2"/>
  <c r="H16" i="2"/>
  <c r="I16" i="2"/>
  <c r="J16" i="2"/>
  <c r="P15" i="2"/>
  <c r="J15" i="2"/>
  <c r="I15" i="2"/>
  <c r="H15" i="2"/>
  <c r="G15" i="2"/>
  <c r="S29" i="2"/>
  <c r="R26" i="2"/>
  <c r="Q27" i="2"/>
  <c r="P28" i="2"/>
  <c r="O29" i="2"/>
  <c r="N26" i="2"/>
  <c r="M27" i="2"/>
  <c r="K29" i="2"/>
  <c r="T30" i="2" l="1"/>
  <c r="K16" i="2"/>
  <c r="O18" i="2"/>
  <c r="S22" i="2"/>
  <c r="P25" i="2"/>
  <c r="N27" i="2"/>
  <c r="S16" i="2"/>
  <c r="N17" i="2"/>
  <c r="N19" i="2"/>
  <c r="K22" i="2"/>
  <c r="R23" i="2"/>
  <c r="O26" i="2"/>
  <c r="O16" i="2"/>
  <c r="K18" i="2"/>
  <c r="R19" i="2"/>
  <c r="O22" i="2"/>
  <c r="S26" i="2"/>
  <c r="P29" i="2"/>
  <c r="Q20" i="2"/>
  <c r="Q24" i="2"/>
  <c r="M15" i="2"/>
  <c r="Q15" i="2"/>
  <c r="R16" i="2"/>
  <c r="N16" i="2"/>
  <c r="Q17" i="2"/>
  <c r="M17" i="2"/>
  <c r="P18" i="2"/>
  <c r="K19" i="2"/>
  <c r="O19" i="2"/>
  <c r="S19" i="2"/>
  <c r="N20" i="2"/>
  <c r="R20" i="2"/>
  <c r="P22" i="2"/>
  <c r="K23" i="2"/>
  <c r="O23" i="2"/>
  <c r="S23" i="2"/>
  <c r="N24" i="2"/>
  <c r="R24" i="2"/>
  <c r="M25" i="2"/>
  <c r="Q25" i="2"/>
  <c r="P26" i="2"/>
  <c r="K27" i="2"/>
  <c r="O27" i="2"/>
  <c r="S27" i="2"/>
  <c r="N28" i="2"/>
  <c r="R28" i="2"/>
  <c r="M29" i="2"/>
  <c r="Q29" i="2"/>
  <c r="M24" i="2"/>
  <c r="M28" i="2"/>
  <c r="Q28" i="2"/>
  <c r="N15" i="2"/>
  <c r="R15" i="2"/>
  <c r="Q16" i="2"/>
  <c r="M16" i="2"/>
  <c r="P17" i="2"/>
  <c r="M18" i="2"/>
  <c r="Q18" i="2"/>
  <c r="P19" i="2"/>
  <c r="K20" i="2"/>
  <c r="O20" i="2"/>
  <c r="S20" i="2"/>
  <c r="R21" i="2"/>
  <c r="M22" i="2"/>
  <c r="Q22" i="2"/>
  <c r="P23" i="2"/>
  <c r="K24" i="2"/>
  <c r="O24" i="2"/>
  <c r="S24" i="2"/>
  <c r="N25" i="2"/>
  <c r="R25" i="2"/>
  <c r="M26" i="2"/>
  <c r="Q26" i="2"/>
  <c r="P27" i="2"/>
  <c r="K28" i="2"/>
  <c r="O28" i="2"/>
  <c r="S28" i="2"/>
  <c r="N29" i="2"/>
  <c r="R29" i="2"/>
  <c r="M20" i="2"/>
  <c r="K15" i="2"/>
  <c r="O15" i="2"/>
  <c r="S15" i="2"/>
  <c r="P16" i="2"/>
  <c r="S17" i="2"/>
  <c r="O17" i="2"/>
  <c r="K17" i="2"/>
  <c r="N18" i="2"/>
  <c r="R18" i="2"/>
  <c r="M19" i="2"/>
  <c r="Q19" i="2"/>
  <c r="P20" i="2"/>
  <c r="S21" i="2"/>
  <c r="N22" i="2"/>
  <c r="R22" i="2"/>
  <c r="M23" i="2"/>
  <c r="Q23" i="2"/>
  <c r="P24" i="2"/>
  <c r="K25" i="2"/>
  <c r="O25" i="2"/>
  <c r="S25" i="2"/>
  <c r="J30" i="2"/>
  <c r="I30" i="2"/>
  <c r="H30" i="2"/>
  <c r="G30" i="2"/>
  <c r="U26" i="2" l="1"/>
  <c r="U24" i="2"/>
  <c r="U25" i="2"/>
  <c r="U28" i="2"/>
  <c r="W28" i="2" s="1"/>
  <c r="U29" i="2"/>
  <c r="U27" i="2"/>
  <c r="W27" i="2" s="1"/>
  <c r="U23" i="2"/>
  <c r="W23" i="2" s="1"/>
  <c r="U22" i="2"/>
  <c r="W22" i="2" s="1"/>
  <c r="U19" i="2"/>
  <c r="W19" i="2" s="1"/>
  <c r="W26" i="2"/>
  <c r="U18" i="2"/>
  <c r="W18" i="2" s="1"/>
  <c r="U20" i="2"/>
  <c r="W20" i="2" s="1"/>
  <c r="U17" i="2"/>
  <c r="W17" i="2" s="1"/>
  <c r="U21" i="2"/>
  <c r="W21" i="2" s="1"/>
  <c r="U16" i="2"/>
  <c r="W16" i="2" s="1"/>
  <c r="U15" i="2"/>
  <c r="W15" i="2" s="1"/>
  <c r="Q30" i="2"/>
  <c r="W24" i="2"/>
  <c r="S30" i="2"/>
  <c r="L30" i="2"/>
  <c r="O30" i="2"/>
  <c r="W29" i="2"/>
  <c r="N30" i="2"/>
  <c r="M30" i="2"/>
  <c r="W25" i="2"/>
  <c r="K30" i="2"/>
  <c r="P30" i="2"/>
  <c r="W31" i="2" l="1"/>
  <c r="U31" i="2"/>
  <c r="U33" i="2" s="1"/>
</calcChain>
</file>

<file path=xl/sharedStrings.xml><?xml version="1.0" encoding="utf-8"?>
<sst xmlns="http://schemas.openxmlformats.org/spreadsheetml/2006/main" uniqueCount="79" count="130">
  <si>
    <t>evertz</t>
  </si>
  <si>
    <t>TRAVEL EXPENSE REPORT</t>
  </si>
  <si>
    <t>WEEK ENDING</t>
  </si>
  <si>
    <t>NAME</t>
  </si>
  <si>
    <t/>
  </si>
  <si>
    <t>DEPARTMENT</t>
  </si>
  <si>
    <t>Service</t>
  </si>
  <si>
    <t>CUSTOMER TRIP</t>
  </si>
  <si>
    <t>TRIP DESTINATION</t>
  </si>
  <si>
    <t>United States</t>
  </si>
  <si>
    <t>YOUR ADDRESS (ONLY INDICATE IF CHANGED</t>
  </si>
  <si>
    <t>SINCE LAST EXPENSE)</t>
  </si>
  <si>
    <t>Internal Use Only</t>
  </si>
  <si>
    <t>Receipt #</t>
  </si>
  <si>
    <t>Date</t>
  </si>
  <si>
    <t>Description</t>
  </si>
  <si>
    <t>Currency*</t>
  </si>
  <si>
    <t>Amount</t>
  </si>
  <si>
    <t>Airfare / Train</t>
  </si>
  <si>
    <t>Breakfast</t>
  </si>
  <si>
    <t>Lunch</t>
  </si>
  <si>
    <t>Dinner</t>
  </si>
  <si>
    <t>Late Meal / Overtime</t>
  </si>
  <si>
    <t>Per Diem</t>
  </si>
  <si>
    <t>Incidentals</t>
  </si>
  <si>
    <t>Hotel</t>
  </si>
  <si>
    <t>Auto Rental</t>
  </si>
  <si>
    <t>Parking</t>
  </si>
  <si>
    <t>Taxi</t>
  </si>
  <si>
    <t>Fuel</t>
  </si>
  <si>
    <t>Mileage (@.55/M, .50/KM)</t>
  </si>
  <si>
    <t>Other</t>
  </si>
  <si>
    <t>Total</t>
  </si>
  <si>
    <t>HST</t>
  </si>
  <si>
    <t>Net of HST</t>
  </si>
  <si>
    <t>Per Diam - Full Day</t>
  </si>
  <si>
    <t>USD</t>
  </si>
  <si>
    <t>Please indicate receipt number on actual receipt, for proper referencing, and list in chronological order.</t>
  </si>
  <si>
    <t>Subtotal</t>
  </si>
  <si>
    <t>Advances</t>
  </si>
  <si>
    <t>*Please report one currency per report.</t>
  </si>
  <si>
    <r>
      <rPr>
        <b/>
        <i/>
        <u/>
        <sz val="12"/>
        <color theme="1"/>
        <rFont val="Tahoma"/>
        <family val="2"/>
      </rPr>
      <t>Per Diem Calculator</t>
    </r>
    <r>
      <rPr>
        <i/>
        <sz val="12"/>
        <color theme="1"/>
        <rFont val="Tahoma"/>
        <family val="2"/>
      </rPr>
      <t xml:space="preserve">
(based on above noted Trip Destination)</t>
    </r>
  </si>
  <si>
    <t>A/C</t>
  </si>
  <si>
    <t>P.J.</t>
  </si>
  <si>
    <t>USD$</t>
  </si>
  <si>
    <t>Local Currency</t>
  </si>
  <si>
    <t>Signature</t>
  </si>
  <si>
    <t>Cheque #</t>
  </si>
  <si>
    <t>Per Diam - Partial Day</t>
  </si>
  <si>
    <t>Approved</t>
  </si>
  <si>
    <t>Date Paid</t>
  </si>
  <si>
    <t>Per Diem Chart</t>
  </si>
  <si>
    <t>Snacks / Incidentals</t>
  </si>
  <si>
    <t>Destination</t>
  </si>
  <si>
    <t>Total Meals &amp; Incidentals ($USD)</t>
  </si>
  <si>
    <t>Exchange</t>
  </si>
  <si>
    <t>India</t>
  </si>
  <si>
    <t>Canada</t>
  </si>
  <si>
    <t>Russia</t>
  </si>
  <si>
    <t>United Kingdom</t>
  </si>
  <si>
    <r>
      <t>European Union (</t>
    </r>
    <r>
      <rPr>
        <b/>
        <i/>
        <sz val="12"/>
        <color rgb="FF333333"/>
        <rFont val="Arial"/>
        <family val="2"/>
      </rPr>
      <t>outside of UK</t>
    </r>
    <r>
      <rPr>
        <b/>
        <sz val="13"/>
        <color rgb="FF333333"/>
        <rFont val="Arial"/>
        <family val="2"/>
      </rPr>
      <t>)</t>
    </r>
  </si>
  <si>
    <t>*1st and last day of travel; 50% of per Diem amount will be paid</t>
  </si>
  <si>
    <t xml:space="preserve">Per Diem Chart </t>
  </si>
  <si>
    <t>Currency</t>
  </si>
  <si>
    <t>Total Meals &amp; Incidentals</t>
  </si>
  <si>
    <t>INR</t>
  </si>
  <si>
    <t>CDN$</t>
  </si>
  <si>
    <t>Rubles</t>
  </si>
  <si>
    <t>GBP</t>
  </si>
  <si>
    <t>Euro</t>
  </si>
  <si>
    <t>List of Drop Down Items - Expense Descriptions</t>
  </si>
  <si>
    <t>List of Drop Down Items - Currency</t>
  </si>
  <si>
    <t>Destinations</t>
  </si>
  <si>
    <t>CDN</t>
  </si>
  <si>
    <t>YEN</t>
  </si>
  <si>
    <t>Rubles (₽)</t>
  </si>
  <si>
    <t>European Union (outside of UK)</t>
  </si>
  <si>
    <t>Other - indicate below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</si>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</sst>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m/d/yyyy;;"/>
    <numFmt numFmtId="166" formatCode="_ [$¥-804]* #,##0.00_ ;_ [$¥-804]* \-#,##0.00_ ;_ [$¥-804]* &quot;-&quot;??_ ;_ @_ "/>
    <numFmt numFmtId="167" formatCode="#,##0.00\ [$₽-419]"/>
    <numFmt numFmtId="168" formatCode="[$₹-445]\ #,##0.00;[Red][$₹-445]\ #,##0.00"/>
    <numFmt numFmtId="169" formatCode="_-* #,##0.00\ [$₽-419]_-;\-* #,##0.00\ [$₽-419]_-;_-* &quot;-&quot;??\ [$₽-419]_-;_-@_-"/>
    <numFmt numFmtId="170" formatCode="_-[$£-809]* #,##0.00_-;\-[$£-809]* #,##0.00_-;_-[$£-809]* &quot;-&quot;??_-;_-@_-"/>
    <numFmt numFmtId="171" formatCode="_([$€-2]\ * #,##0.00_);_([$€-2]\ * \(#,##0.00\);_([$€-2]\ * &quot;-&quot;??_);_(@_)"/>
  </numFmts>
  <fonts count="44" x14ac:knownFonts="1">
    <font>
      <sz val="11"/>
      <color theme="1"/>
      <name val="Calibri"/>
      <family val="2"/>
      <scheme val="minor"/>
    </font>
    <font>
      <b/>
      <i/>
      <sz val="72"/>
      <name val="Arial"/>
      <family val="2"/>
    </font>
    <font>
      <sz val="10"/>
      <name val="Arial"/>
      <family val="2"/>
    </font>
    <font>
      <b/>
      <sz val="36"/>
      <name val="Arial"/>
      <family val="2"/>
    </font>
    <font>
      <sz val="10"/>
      <color rgb="FF000000"/>
      <name val="Arial"/>
      <family val="2"/>
    </font>
    <font>
      <sz val="10"/>
      <name val="Tahoma"/>
      <family val="2"/>
    </font>
    <font>
      <i/>
      <sz val="8"/>
      <name val="Tahoma"/>
      <family val="2"/>
    </font>
    <font>
      <b/>
      <sz val="9"/>
      <color rgb="FF808080"/>
      <name val="Tahoma"/>
      <family val="2"/>
    </font>
    <font>
      <sz val="10"/>
      <color rgb="FF333333"/>
      <name val="Tahoma"/>
      <family val="2"/>
    </font>
    <font>
      <b/>
      <sz val="10"/>
      <color rgb="FF333333"/>
      <name val="Tahoma"/>
      <family val="2"/>
    </font>
    <font>
      <sz val="9"/>
      <color rgb="FF333333"/>
      <name val="Tahoma"/>
      <family val="2"/>
    </font>
    <font>
      <b/>
      <sz val="9"/>
      <color rgb="FFFFFFFF"/>
      <name val="Tahoma"/>
      <family val="2"/>
    </font>
    <font>
      <sz val="10"/>
      <color rgb="FFC0C0C0"/>
      <name val="Tahoma"/>
      <family val="2"/>
    </font>
    <font>
      <b/>
      <i/>
      <sz val="11"/>
      <color theme="1"/>
      <name val="Calibri"/>
      <family val="2"/>
      <scheme val="minor"/>
    </font>
    <font>
      <b/>
      <sz val="9"/>
      <name val="Tahoma"/>
      <family val="2"/>
    </font>
    <font>
      <sz val="24"/>
      <color rgb="FFA14817"/>
      <name val="Tahoma"/>
      <family val="2"/>
    </font>
    <font>
      <sz val="9"/>
      <name val="Tahoma"/>
      <family val="2"/>
    </font>
    <font>
      <i/>
      <sz val="10"/>
      <color rgb="FF7030A0"/>
      <name val="Arial"/>
      <family val="2"/>
    </font>
    <font>
      <sz val="12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b/>
      <sz val="10"/>
      <color rgb="FF000000"/>
      <name val="Arial"/>
      <family val="2"/>
    </font>
    <font>
      <b/>
      <sz val="9"/>
      <color rgb="FF7030A0"/>
      <name val="Tahoma"/>
      <family val="2"/>
    </font>
    <font>
      <sz val="11"/>
      <color theme="1"/>
      <name val="Calibri"/>
      <family val="2"/>
      <scheme val="minor"/>
    </font>
    <font>
      <sz val="12"/>
      <color rgb="FF000000"/>
      <name val="Tahoma"/>
      <family val="2"/>
    </font>
    <font>
      <u/>
      <sz val="12"/>
      <color rgb="FF000000"/>
      <name val="Tahoma"/>
      <family val="2"/>
    </font>
    <font>
      <i/>
      <u/>
      <sz val="12"/>
      <name val="Tahoma"/>
      <family val="2"/>
    </font>
    <font>
      <sz val="11"/>
      <color theme="1"/>
      <name val="Calibri"/>
      <family val="2"/>
    </font>
    <font>
      <sz val="14"/>
      <name val="Arial"/>
      <family val="2"/>
    </font>
    <font>
      <b/>
      <i/>
      <u/>
      <sz val="14"/>
      <color theme="1"/>
      <name val="Calibri"/>
      <family val="2"/>
      <scheme val="minor"/>
    </font>
    <font>
      <b/>
      <sz val="13"/>
      <color rgb="FF000000"/>
      <name val="Arial"/>
      <family val="2"/>
    </font>
    <font>
      <b/>
      <i/>
      <sz val="13"/>
      <color rgb="FF000000"/>
      <name val="Arial"/>
      <family val="2"/>
    </font>
    <font>
      <b/>
      <sz val="13"/>
      <color rgb="FF333333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b/>
      <i/>
      <sz val="12"/>
      <color rgb="FF333333"/>
      <name val="Arial"/>
      <family val="2"/>
    </font>
    <font>
      <b/>
      <i/>
      <sz val="10"/>
      <color rgb="FF333333"/>
      <name val="Arial"/>
      <family val="2"/>
    </font>
    <font>
      <sz val="13"/>
      <color rgb="FF333333"/>
      <name val="Arial"/>
      <family val="2"/>
    </font>
    <font>
      <i/>
      <sz val="11"/>
      <color theme="1"/>
      <name val="Calibri"/>
      <family val="2"/>
      <scheme val="minor"/>
    </font>
    <font>
      <i/>
      <sz val="12"/>
      <color theme="1"/>
      <name val="Tahoma"/>
      <family val="2"/>
    </font>
    <font>
      <sz val="11"/>
      <color theme="1"/>
      <name val="Tahoma"/>
      <family val="2"/>
    </font>
    <font>
      <i/>
      <sz val="11"/>
      <color theme="1"/>
      <name val="Tahoma"/>
      <family val="2"/>
    </font>
    <font>
      <u/>
      <sz val="11"/>
      <color theme="1"/>
      <name val="Tahoma"/>
      <family val="2"/>
    </font>
    <font>
      <b/>
      <i/>
      <u/>
      <sz val="12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DF6E7"/>
        <bgColor rgb="FFFDF6E7"/>
      </patternFill>
    </fill>
    <fill>
      <patternFill patternType="solid">
        <fgColor rgb="FFEAEAEA"/>
        <bgColor rgb="FFEAEAEA"/>
      </patternFill>
    </fill>
    <fill>
      <patternFill patternType="solid">
        <fgColor rgb="FFA14817"/>
        <bgColor rgb="FFA14817"/>
      </patternFill>
    </fill>
    <fill>
      <patternFill patternType="solid">
        <fgColor rgb="FFC0C0C0"/>
        <bgColor rgb="FFC0C0C0"/>
      </patternFill>
    </fill>
    <fill>
      <patternFill patternType="solid">
        <fgColor theme="3" tint="0.39997558519241921"/>
        <bgColor rgb="FFA14817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D6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rgb="FFC0C0C0"/>
      </left>
      <right style="thin">
        <color rgb="FFC0C0C0"/>
      </right>
      <top style="thin">
        <color rgb="FF808080"/>
      </top>
      <bottom/>
      <diagonal/>
    </border>
    <border>
      <left style="thin">
        <color rgb="FFC0C0C0"/>
      </left>
      <right style="thin">
        <color rgb="FFC0C0C0"/>
      </right>
      <top style="thin">
        <color rgb="FFD9D9D9"/>
      </top>
      <bottom style="thin">
        <color rgb="FFD9D9D9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C0C0C0"/>
      </left>
      <right style="thin">
        <color rgb="FFC0C0C0"/>
      </right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C0C0C0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C0C0C0"/>
      </top>
      <bottom style="thin">
        <color rgb="FFC0C0C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808080"/>
      </left>
      <right/>
      <top style="thin">
        <color indexed="64"/>
      </top>
      <bottom/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rgb="FF80808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808080"/>
      </top>
      <bottom/>
      <diagonal/>
    </border>
    <border>
      <left/>
      <right style="thin">
        <color indexed="64"/>
      </right>
      <top style="thin">
        <color rgb="FF808080"/>
      </top>
      <bottom/>
      <diagonal/>
    </border>
    <border>
      <left style="thin">
        <color indexed="64"/>
      </left>
      <right/>
      <top style="thin">
        <color rgb="FFD9D9D9"/>
      </top>
      <bottom style="thin">
        <color rgb="FFD9D9D9"/>
      </bottom>
      <diagonal/>
    </border>
    <border>
      <left style="thin">
        <color rgb="FFC0C0C0"/>
      </left>
      <right style="thin">
        <color indexed="64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/>
      <top style="thin">
        <color rgb="FFD9D9D9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/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D9D9D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C0C0C0"/>
      </top>
      <bottom style="thin">
        <color indexed="64"/>
      </bottom>
      <diagonal/>
    </border>
    <border>
      <left style="thin">
        <color rgb="FF808080"/>
      </left>
      <right/>
      <top/>
      <bottom/>
      <diagonal/>
    </border>
    <border>
      <left style="thin">
        <color indexed="64"/>
      </left>
      <right style="thin">
        <color rgb="FF808080"/>
      </right>
      <top style="thin">
        <color indexed="64"/>
      </top>
      <bottom style="thin">
        <color rgb="FF808080"/>
      </bottom>
      <diagonal/>
    </border>
    <border>
      <left style="thin">
        <color rgb="FF808080"/>
      </left>
      <right style="thin">
        <color indexed="64"/>
      </right>
      <top style="thin">
        <color indexed="64"/>
      </top>
      <bottom style="thin">
        <color rgb="FF808080"/>
      </bottom>
      <diagonal/>
    </border>
    <border>
      <left style="thin">
        <color indexed="64"/>
      </left>
      <right style="thin">
        <color rgb="FF808080"/>
      </right>
      <top style="thin">
        <color rgb="FF808080"/>
      </top>
      <bottom style="thin">
        <color indexed="64"/>
      </bottom>
      <diagonal/>
    </border>
    <border>
      <left style="thin">
        <color rgb="FF808080"/>
      </left>
      <right style="thin">
        <color indexed="64"/>
      </right>
      <top style="thin">
        <color rgb="FF80808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111111"/>
      </bottom>
      <diagonal/>
    </border>
    <border>
      <left/>
      <right/>
      <top/>
      <bottom style="medium">
        <color rgb="FF111111"/>
      </bottom>
      <diagonal/>
    </border>
    <border>
      <left/>
      <right style="medium">
        <color indexed="64"/>
      </right>
      <top/>
      <bottom style="medium">
        <color rgb="FF11111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C0C0C0"/>
      </left>
      <right style="thin">
        <color indexed="64"/>
      </right>
      <top style="thin">
        <color rgb="FFC0C0C0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</cellStyleXfs>
  <cellXfs count="15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5" fillId="2" borderId="0" xfId="1" applyFont="1" applyFill="1" applyAlignment="1">
      <alignment vertical="center"/>
    </xf>
    <xf numFmtId="0" fontId="4" fillId="0" borderId="0" xfId="1"/>
    <xf numFmtId="0" fontId="5" fillId="0" borderId="0" xfId="1" applyFont="1"/>
    <xf numFmtId="44" fontId="5" fillId="3" borderId="7" xfId="1" applyNumberFormat="1" applyFont="1" applyFill="1" applyBorder="1" applyAlignment="1">
      <alignment horizontal="center"/>
    </xf>
    <xf numFmtId="44" fontId="5" fillId="0" borderId="8" xfId="1" applyNumberFormat="1" applyFont="1" applyBorder="1" applyAlignment="1">
      <alignment horizontal="center"/>
    </xf>
    <xf numFmtId="44" fontId="5" fillId="3" borderId="8" xfId="1" applyNumberFormat="1" applyFont="1" applyFill="1" applyBorder="1" applyAlignment="1">
      <alignment horizontal="center"/>
    </xf>
    <xf numFmtId="44" fontId="5" fillId="2" borderId="8" xfId="1" applyNumberFormat="1" applyFont="1" applyFill="1" applyBorder="1" applyAlignment="1">
      <alignment horizontal="center"/>
    </xf>
    <xf numFmtId="0" fontId="5" fillId="0" borderId="12" xfId="1" applyFont="1" applyBorder="1" applyAlignment="1">
      <alignment horizontal="center"/>
    </xf>
    <xf numFmtId="0" fontId="9" fillId="0" borderId="11" xfId="1" applyFont="1" applyBorder="1" applyAlignment="1">
      <alignment horizontal="right"/>
    </xf>
    <xf numFmtId="0" fontId="9" fillId="0" borderId="0" xfId="1" applyFont="1" applyAlignment="1">
      <alignment horizontal="right"/>
    </xf>
    <xf numFmtId="44" fontId="5" fillId="0" borderId="13" xfId="1" applyNumberFormat="1" applyFont="1" applyBorder="1" applyAlignment="1">
      <alignment horizontal="center"/>
    </xf>
    <xf numFmtId="44" fontId="5" fillId="4" borderId="14" xfId="1" applyNumberFormat="1" applyFont="1" applyFill="1" applyBorder="1" applyAlignment="1">
      <alignment horizontal="center"/>
    </xf>
    <xf numFmtId="0" fontId="5" fillId="0" borderId="0" xfId="1" applyFont="1" applyAlignment="1">
      <alignment horizontal="center"/>
    </xf>
    <xf numFmtId="44" fontId="5" fillId="4" borderId="10" xfId="1" applyNumberFormat="1" applyFont="1" applyFill="1" applyBorder="1" applyAlignment="1">
      <alignment horizontal="center"/>
    </xf>
    <xf numFmtId="0" fontId="11" fillId="5" borderId="16" xfId="1" applyFont="1" applyFill="1" applyBorder="1" applyAlignment="1">
      <alignment horizontal="center" vertical="center"/>
    </xf>
    <xf numFmtId="0" fontId="11" fillId="5" borderId="17" xfId="1" applyFont="1" applyFill="1" applyBorder="1" applyAlignment="1">
      <alignment horizontal="center" vertical="center"/>
    </xf>
    <xf numFmtId="0" fontId="5" fillId="3" borderId="19" xfId="1" applyFont="1" applyFill="1" applyBorder="1" applyAlignment="1">
      <alignment horizontal="center"/>
    </xf>
    <xf numFmtId="44" fontId="5" fillId="4" borderId="20" xfId="1" applyNumberFormat="1" applyFont="1" applyFill="1" applyBorder="1" applyAlignment="1">
      <alignment horizontal="center"/>
    </xf>
    <xf numFmtId="0" fontId="5" fillId="0" borderId="21" xfId="1" applyFont="1" applyBorder="1" applyAlignment="1">
      <alignment horizontal="center"/>
    </xf>
    <xf numFmtId="44" fontId="5" fillId="4" borderId="22" xfId="1" applyNumberFormat="1" applyFont="1" applyFill="1" applyBorder="1" applyAlignment="1">
      <alignment horizontal="center"/>
    </xf>
    <xf numFmtId="0" fontId="5" fillId="3" borderId="21" xfId="1" applyFont="1" applyFill="1" applyBorder="1" applyAlignment="1">
      <alignment horizontal="center"/>
    </xf>
    <xf numFmtId="0" fontId="5" fillId="3" borderId="23" xfId="1" applyFont="1" applyFill="1" applyBorder="1" applyAlignment="1">
      <alignment horizontal="center"/>
    </xf>
    <xf numFmtId="44" fontId="5" fillId="3" borderId="24" xfId="1" applyNumberFormat="1" applyFont="1" applyFill="1" applyBorder="1" applyAlignment="1">
      <alignment horizontal="center"/>
    </xf>
    <xf numFmtId="44" fontId="5" fillId="4" borderId="5" xfId="1" applyNumberFormat="1" applyFont="1" applyFill="1" applyBorder="1" applyAlignment="1">
      <alignment horizontal="center"/>
    </xf>
    <xf numFmtId="0" fontId="13" fillId="0" borderId="0" xfId="0" applyFont="1"/>
    <xf numFmtId="0" fontId="14" fillId="7" borderId="17" xfId="1" applyFont="1" applyFill="1" applyBorder="1" applyAlignment="1">
      <alignment horizontal="center" vertical="center" wrapText="1"/>
    </xf>
    <xf numFmtId="0" fontId="14" fillId="7" borderId="18" xfId="1" applyFont="1" applyFill="1" applyBorder="1" applyAlignment="1">
      <alignment horizontal="center" vertical="center"/>
    </xf>
    <xf numFmtId="44" fontId="5" fillId="3" borderId="25" xfId="1" applyNumberFormat="1" applyFont="1" applyFill="1" applyBorder="1" applyAlignment="1">
      <alignment horizontal="center"/>
    </xf>
    <xf numFmtId="0" fontId="15" fillId="0" borderId="0" xfId="1" applyFont="1" applyAlignment="1">
      <alignment vertical="top"/>
    </xf>
    <xf numFmtId="0" fontId="7" fillId="0" borderId="0" xfId="1" applyFont="1"/>
    <xf numFmtId="0" fontId="8" fillId="0" borderId="0" xfId="1" applyFont="1"/>
    <xf numFmtId="0" fontId="7" fillId="0" borderId="0" xfId="1" applyFont="1" applyAlignment="1">
      <alignment horizontal="left"/>
    </xf>
    <xf numFmtId="0" fontId="8" fillId="0" borderId="0" xfId="1" applyFont="1" applyAlignment="1">
      <alignment horizontal="right"/>
    </xf>
    <xf numFmtId="165" fontId="8" fillId="0" borderId="0" xfId="1" applyNumberFormat="1" applyFont="1" applyAlignment="1">
      <alignment horizontal="left"/>
    </xf>
    <xf numFmtId="0" fontId="10" fillId="0" borderId="0" xfId="1" applyFont="1"/>
    <xf numFmtId="49" fontId="8" fillId="0" borderId="0" xfId="1" applyNumberFormat="1" applyFont="1"/>
    <xf numFmtId="14" fontId="5" fillId="0" borderId="0" xfId="1" applyNumberFormat="1" applyFont="1"/>
    <xf numFmtId="0" fontId="6" fillId="0" borderId="0" xfId="1" applyFont="1" applyAlignment="1">
      <alignment horizontal="left" vertical="center"/>
    </xf>
    <xf numFmtId="0" fontId="5" fillId="0" borderId="0" xfId="1" applyFont="1" applyAlignment="1">
      <alignment vertical="center"/>
    </xf>
    <xf numFmtId="164" fontId="16" fillId="3" borderId="7" xfId="1" applyNumberFormat="1" applyFont="1" applyFill="1" applyBorder="1" applyAlignment="1">
      <alignment horizontal="center"/>
    </xf>
    <xf numFmtId="164" fontId="16" fillId="0" borderId="8" xfId="1" applyNumberFormat="1" applyFont="1" applyBorder="1" applyAlignment="1">
      <alignment horizontal="center"/>
    </xf>
    <xf numFmtId="164" fontId="16" fillId="3" borderId="8" xfId="1" applyNumberFormat="1" applyFont="1" applyFill="1" applyBorder="1" applyAlignment="1">
      <alignment horizontal="center"/>
    </xf>
    <xf numFmtId="164" fontId="16" fillId="3" borderId="25" xfId="1" applyNumberFormat="1" applyFont="1" applyFill="1" applyBorder="1" applyAlignment="1">
      <alignment horizontal="center"/>
    </xf>
    <xf numFmtId="44" fontId="5" fillId="4" borderId="28" xfId="1" applyNumberFormat="1" applyFont="1" applyFill="1" applyBorder="1" applyAlignment="1">
      <alignment horizontal="center"/>
    </xf>
    <xf numFmtId="0" fontId="12" fillId="6" borderId="9" xfId="1" applyFont="1" applyFill="1" applyBorder="1" applyAlignment="1">
      <alignment horizontal="center"/>
    </xf>
    <xf numFmtId="44" fontId="5" fillId="4" borderId="29" xfId="1" applyNumberFormat="1" applyFont="1" applyFill="1" applyBorder="1" applyAlignment="1">
      <alignment horizontal="center"/>
    </xf>
    <xf numFmtId="0" fontId="12" fillId="6" borderId="30" xfId="1" applyFont="1" applyFill="1" applyBorder="1" applyAlignment="1">
      <alignment horizontal="center"/>
    </xf>
    <xf numFmtId="0" fontId="12" fillId="6" borderId="31" xfId="1" applyFont="1" applyFill="1" applyBorder="1" applyAlignment="1">
      <alignment horizontal="center"/>
    </xf>
    <xf numFmtId="44" fontId="5" fillId="4" borderId="32" xfId="1" applyNumberFormat="1" applyFont="1" applyFill="1" applyBorder="1" applyAlignment="1">
      <alignment horizontal="center"/>
    </xf>
    <xf numFmtId="44" fontId="5" fillId="4" borderId="33" xfId="1" applyNumberFormat="1" applyFont="1" applyFill="1" applyBorder="1" applyAlignment="1">
      <alignment horizontal="center"/>
    </xf>
    <xf numFmtId="0" fontId="19" fillId="0" borderId="0" xfId="0" applyFont="1"/>
    <xf numFmtId="0" fontId="18" fillId="0" borderId="6" xfId="0" applyFont="1" applyBorder="1"/>
    <xf numFmtId="0" fontId="18" fillId="0" borderId="27" xfId="0" applyFont="1" applyBorder="1"/>
    <xf numFmtId="0" fontId="20" fillId="0" borderId="0" xfId="0" applyFont="1" applyAlignment="1">
      <alignment horizontal="right"/>
    </xf>
    <xf numFmtId="0" fontId="21" fillId="0" borderId="0" xfId="1" applyFont="1"/>
    <xf numFmtId="0" fontId="4" fillId="8" borderId="15" xfId="1" applyFill="1" applyBorder="1"/>
    <xf numFmtId="0" fontId="19" fillId="8" borderId="26" xfId="0" applyFont="1" applyFill="1" applyBorder="1"/>
    <xf numFmtId="0" fontId="19" fillId="8" borderId="18" xfId="0" applyFont="1" applyFill="1" applyBorder="1"/>
    <xf numFmtId="0" fontId="18" fillId="8" borderId="34" xfId="0" applyFont="1" applyFill="1" applyBorder="1" applyAlignment="1">
      <alignment horizontal="right"/>
    </xf>
    <xf numFmtId="0" fontId="18" fillId="8" borderId="0" xfId="0" applyFont="1" applyFill="1"/>
    <xf numFmtId="0" fontId="19" fillId="8" borderId="0" xfId="0" applyFont="1" applyFill="1"/>
    <xf numFmtId="0" fontId="18" fillId="8" borderId="0" xfId="0" applyFont="1" applyFill="1" applyAlignment="1">
      <alignment horizontal="right"/>
    </xf>
    <xf numFmtId="44" fontId="18" fillId="8" borderId="0" xfId="0" applyNumberFormat="1" applyFont="1" applyFill="1"/>
    <xf numFmtId="7" fontId="18" fillId="8" borderId="0" xfId="0" applyNumberFormat="1" applyFont="1" applyFill="1"/>
    <xf numFmtId="0" fontId="19" fillId="8" borderId="35" xfId="0" applyFont="1" applyFill="1" applyBorder="1"/>
    <xf numFmtId="0" fontId="18" fillId="8" borderId="6" xfId="0" applyFont="1" applyFill="1" applyBorder="1"/>
    <xf numFmtId="0" fontId="18" fillId="8" borderId="3" xfId="0" applyFont="1" applyFill="1" applyBorder="1"/>
    <xf numFmtId="0" fontId="4" fillId="8" borderId="34" xfId="1" applyFill="1" applyBorder="1"/>
    <xf numFmtId="0" fontId="4" fillId="8" borderId="0" xfId="1" applyFill="1"/>
    <xf numFmtId="0" fontId="4" fillId="8" borderId="4" xfId="1" applyFill="1" applyBorder="1"/>
    <xf numFmtId="0" fontId="4" fillId="8" borderId="27" xfId="1" applyFill="1" applyBorder="1"/>
    <xf numFmtId="0" fontId="4" fillId="8" borderId="5" xfId="1" applyFill="1" applyBorder="1"/>
    <xf numFmtId="0" fontId="18" fillId="8" borderId="27" xfId="0" applyFont="1" applyFill="1" applyBorder="1"/>
    <xf numFmtId="0" fontId="22" fillId="7" borderId="18" xfId="1" applyFont="1" applyFill="1" applyBorder="1" applyAlignment="1">
      <alignment horizontal="center" vertical="center"/>
    </xf>
    <xf numFmtId="0" fontId="24" fillId="0" borderId="0" xfId="1" applyFont="1"/>
    <xf numFmtId="0" fontId="25" fillId="0" borderId="0" xfId="1" applyFont="1"/>
    <xf numFmtId="166" fontId="0" fillId="0" borderId="0" xfId="0" applyNumberFormat="1"/>
    <xf numFmtId="167" fontId="0" fillId="0" borderId="0" xfId="0" applyNumberFormat="1"/>
    <xf numFmtId="0" fontId="27" fillId="0" borderId="0" xfId="0" applyFont="1"/>
    <xf numFmtId="0" fontId="28" fillId="0" borderId="0" xfId="0" applyFont="1" applyAlignment="1">
      <alignment horizontal="right"/>
    </xf>
    <xf numFmtId="0" fontId="28" fillId="0" borderId="0" xfId="0" applyFont="1"/>
    <xf numFmtId="0" fontId="28" fillId="0" borderId="36" xfId="0" applyFont="1" applyBorder="1"/>
    <xf numFmtId="0" fontId="28" fillId="0" borderId="37" xfId="0" applyFont="1" applyBorder="1" applyAlignment="1">
      <alignment horizontal="left"/>
    </xf>
    <xf numFmtId="0" fontId="28" fillId="0" borderId="37" xfId="0" applyFont="1" applyBorder="1"/>
    <xf numFmtId="0" fontId="11" fillId="5" borderId="15" xfId="1" applyFont="1" applyFill="1" applyBorder="1" applyAlignment="1">
      <alignment horizontal="center" vertical="center"/>
    </xf>
    <xf numFmtId="0" fontId="29" fillId="0" borderId="0" xfId="0" applyFont="1"/>
    <xf numFmtId="0" fontId="30" fillId="9" borderId="38" xfId="0" applyFont="1" applyFill="1" applyBorder="1" applyAlignment="1">
      <alignment horizontal="left" vertical="center" wrapText="1" indent="1"/>
    </xf>
    <xf numFmtId="0" fontId="30" fillId="9" borderId="39" xfId="0" applyFont="1" applyFill="1" applyBorder="1" applyAlignment="1">
      <alignment horizontal="center" wrapText="1"/>
    </xf>
    <xf numFmtId="0" fontId="30" fillId="9" borderId="40" xfId="0" applyFont="1" applyFill="1" applyBorder="1" applyAlignment="1">
      <alignment horizontal="center" wrapText="1"/>
    </xf>
    <xf numFmtId="0" fontId="30" fillId="9" borderId="41" xfId="0" applyFont="1" applyFill="1" applyBorder="1" applyAlignment="1">
      <alignment horizontal="left" wrapText="1" indent="1"/>
    </xf>
    <xf numFmtId="0" fontId="30" fillId="9" borderId="42" xfId="0" applyFont="1" applyFill="1" applyBorder="1" applyAlignment="1">
      <alignment horizontal="center" wrapText="1"/>
    </xf>
    <xf numFmtId="0" fontId="30" fillId="9" borderId="43" xfId="0" applyFont="1" applyFill="1" applyBorder="1" applyAlignment="1">
      <alignment horizontal="center" wrapText="1"/>
    </xf>
    <xf numFmtId="0" fontId="31" fillId="9" borderId="0" xfId="0" applyFont="1" applyFill="1" applyAlignment="1">
      <alignment horizontal="center" wrapText="1"/>
    </xf>
    <xf numFmtId="0" fontId="32" fillId="10" borderId="44" xfId="0" applyFont="1" applyFill="1" applyBorder="1" applyAlignment="1">
      <alignment horizontal="left" vertical="center" wrapText="1" indent="1"/>
    </xf>
    <xf numFmtId="8" fontId="33" fillId="10" borderId="0" xfId="0" applyNumberFormat="1" applyFont="1" applyFill="1" applyAlignment="1">
      <alignment horizontal="center" vertical="center" wrapText="1"/>
    </xf>
    <xf numFmtId="8" fontId="34" fillId="10" borderId="45" xfId="0" applyNumberFormat="1" applyFont="1" applyFill="1" applyBorder="1" applyAlignment="1">
      <alignment horizontal="center" vertical="center" wrapText="1"/>
    </xf>
    <xf numFmtId="0" fontId="32" fillId="10" borderId="46" xfId="0" applyFont="1" applyFill="1" applyBorder="1" applyAlignment="1">
      <alignment horizontal="left" vertical="center" wrapText="1" indent="1"/>
    </xf>
    <xf numFmtId="8" fontId="33" fillId="10" borderId="1" xfId="0" applyNumberFormat="1" applyFont="1" applyFill="1" applyBorder="1" applyAlignment="1">
      <alignment horizontal="center" vertical="center" wrapText="1"/>
    </xf>
    <xf numFmtId="8" fontId="34" fillId="10" borderId="47" xfId="0" applyNumberFormat="1" applyFont="1" applyFill="1" applyBorder="1" applyAlignment="1">
      <alignment horizontal="center" vertical="center" wrapText="1"/>
    </xf>
    <xf numFmtId="0" fontId="36" fillId="10" borderId="0" xfId="0" applyFont="1" applyFill="1" applyAlignment="1">
      <alignment horizontal="left" vertical="center" indent="1"/>
    </xf>
    <xf numFmtId="0" fontId="31" fillId="9" borderId="39" xfId="0" applyFont="1" applyFill="1" applyBorder="1" applyAlignment="1">
      <alignment horizontal="left" vertical="center" wrapText="1" indent="1"/>
    </xf>
    <xf numFmtId="0" fontId="31" fillId="9" borderId="42" xfId="0" applyFont="1" applyFill="1" applyBorder="1" applyAlignment="1">
      <alignment horizontal="center" wrapText="1"/>
    </xf>
    <xf numFmtId="0" fontId="35" fillId="10" borderId="0" xfId="0" applyFont="1" applyFill="1" applyAlignment="1">
      <alignment horizontal="left" vertical="center" wrapText="1" indent="1"/>
    </xf>
    <xf numFmtId="168" fontId="37" fillId="10" borderId="39" xfId="0" applyNumberFormat="1" applyFont="1" applyFill="1" applyBorder="1" applyAlignment="1">
      <alignment horizontal="right" vertical="center" wrapText="1"/>
    </xf>
    <xf numFmtId="168" fontId="32" fillId="10" borderId="40" xfId="0" applyNumberFormat="1" applyFont="1" applyFill="1" applyBorder="1" applyAlignment="1">
      <alignment horizontal="right" vertical="center" wrapText="1"/>
    </xf>
    <xf numFmtId="8" fontId="0" fillId="0" borderId="0" xfId="0" applyNumberFormat="1"/>
    <xf numFmtId="8" fontId="37" fillId="10" borderId="0" xfId="0" applyNumberFormat="1" applyFont="1" applyFill="1" applyAlignment="1">
      <alignment horizontal="right" vertical="center" wrapText="1"/>
    </xf>
    <xf numFmtId="8" fontId="32" fillId="10" borderId="45" xfId="0" applyNumberFormat="1" applyFont="1" applyFill="1" applyBorder="1" applyAlignment="1">
      <alignment horizontal="right" vertical="center" wrapText="1"/>
    </xf>
    <xf numFmtId="169" fontId="37" fillId="10" borderId="0" xfId="0" applyNumberFormat="1" applyFont="1" applyFill="1" applyAlignment="1">
      <alignment horizontal="right" vertical="center" wrapText="1"/>
    </xf>
    <xf numFmtId="169" fontId="32" fillId="10" borderId="45" xfId="0" applyNumberFormat="1" applyFont="1" applyFill="1" applyBorder="1" applyAlignment="1">
      <alignment horizontal="right" vertical="center" wrapText="1"/>
    </xf>
    <xf numFmtId="43" fontId="37" fillId="10" borderId="0" xfId="2" applyFont="1" applyFill="1" applyBorder="1" applyAlignment="1">
      <alignment horizontal="right" vertical="center" wrapText="1"/>
    </xf>
    <xf numFmtId="43" fontId="32" fillId="10" borderId="45" xfId="2" applyFont="1" applyFill="1" applyBorder="1" applyAlignment="1">
      <alignment horizontal="right" vertical="center" wrapText="1"/>
    </xf>
    <xf numFmtId="170" fontId="37" fillId="10" borderId="0" xfId="0" applyNumberFormat="1" applyFont="1" applyFill="1" applyAlignment="1">
      <alignment horizontal="right" vertical="center" wrapText="1"/>
    </xf>
    <xf numFmtId="170" fontId="32" fillId="10" borderId="45" xfId="0" applyNumberFormat="1" applyFont="1" applyFill="1" applyBorder="1" applyAlignment="1">
      <alignment horizontal="right" vertical="center" wrapText="1"/>
    </xf>
    <xf numFmtId="0" fontId="35" fillId="10" borderId="1" xfId="0" applyFont="1" applyFill="1" applyBorder="1" applyAlignment="1">
      <alignment horizontal="left" vertical="center" wrapText="1" indent="1"/>
    </xf>
    <xf numFmtId="171" fontId="37" fillId="10" borderId="1" xfId="0" applyNumberFormat="1" applyFont="1" applyFill="1" applyBorder="1" applyAlignment="1">
      <alignment horizontal="right" vertical="center" wrapText="1"/>
    </xf>
    <xf numFmtId="171" fontId="32" fillId="10" borderId="47" xfId="0" applyNumberFormat="1" applyFont="1" applyFill="1" applyBorder="1" applyAlignment="1">
      <alignment horizontal="right" vertical="center" wrapText="1"/>
    </xf>
    <xf numFmtId="0" fontId="38" fillId="0" borderId="0" xfId="0" applyFont="1"/>
    <xf numFmtId="0" fontId="19" fillId="11" borderId="34" xfId="0" applyFont="1" applyFill="1" applyBorder="1"/>
    <xf numFmtId="0" fontId="19" fillId="11" borderId="0" xfId="0" applyFont="1" applyFill="1"/>
    <xf numFmtId="0" fontId="4" fillId="11" borderId="0" xfId="1" applyFill="1"/>
    <xf numFmtId="0" fontId="4" fillId="11" borderId="35" xfId="1" applyFill="1" applyBorder="1"/>
    <xf numFmtId="0" fontId="4" fillId="11" borderId="34" xfId="1" applyFill="1" applyBorder="1"/>
    <xf numFmtId="0" fontId="4" fillId="11" borderId="4" xfId="1" applyFill="1" applyBorder="1"/>
    <xf numFmtId="0" fontId="4" fillId="11" borderId="27" xfId="1" applyFill="1" applyBorder="1"/>
    <xf numFmtId="0" fontId="4" fillId="11" borderId="5" xfId="1" applyFill="1" applyBorder="1"/>
    <xf numFmtId="0" fontId="41" fillId="11" borderId="34" xfId="0" applyFont="1" applyFill="1" applyBorder="1"/>
    <xf numFmtId="0" fontId="42" fillId="11" borderId="0" xfId="0" applyFont="1" applyFill="1" applyAlignment="1">
      <alignment horizontal="center"/>
    </xf>
    <xf numFmtId="44" fontId="40" fillId="11" borderId="0" xfId="3" applyFont="1" applyFill="1" applyBorder="1"/>
    <xf numFmtId="44" fontId="5" fillId="4" borderId="48" xfId="1" applyNumberFormat="1" applyFont="1" applyFill="1" applyBorder="1" applyAlignment="1">
      <alignment horizont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/>
    <xf numFmtId="0" fontId="2" fillId="0" borderId="0" xfId="1" applyFont="1" applyAlignment="1">
      <alignment horizontal="center" vertical="center"/>
    </xf>
    <xf numFmtId="164" fontId="28" fillId="0" borderId="1" xfId="0" applyNumberFormat="1" applyFont="1" applyBorder="1" applyAlignment="1">
      <alignment horizontal="left"/>
    </xf>
    <xf numFmtId="0" fontId="28" fillId="0" borderId="2" xfId="0" applyFont="1" applyBorder="1" applyAlignment="1">
      <alignment horizontal="left"/>
    </xf>
    <xf numFmtId="0" fontId="28" fillId="0" borderId="36" xfId="0" applyFont="1" applyBorder="1" applyAlignment="1">
      <alignment horizontal="left"/>
    </xf>
    <xf numFmtId="0" fontId="28" fillId="0" borderId="37" xfId="0" applyFont="1" applyBorder="1" applyAlignment="1">
      <alignment horizontal="left"/>
    </xf>
    <xf numFmtId="43" fontId="19" fillId="11" borderId="0" xfId="2" applyFont="1" applyFill="1" applyBorder="1" applyAlignment="1">
      <alignment horizontal="left"/>
    </xf>
    <xf numFmtId="43" fontId="19" fillId="11" borderId="35" xfId="2" applyFont="1" applyFill="1" applyBorder="1" applyAlignment="1">
      <alignment horizontal="left"/>
    </xf>
    <xf numFmtId="0" fontId="42" fillId="11" borderId="0" xfId="0" applyFont="1" applyFill="1" applyAlignment="1">
      <alignment horizontal="center"/>
    </xf>
    <xf numFmtId="0" fontId="42" fillId="11" borderId="35" xfId="0" applyFont="1" applyFill="1" applyBorder="1" applyAlignment="1">
      <alignment horizontal="center"/>
    </xf>
    <xf numFmtId="0" fontId="17" fillId="0" borderId="27" xfId="1" applyFont="1" applyBorder="1" applyAlignment="1">
      <alignment horizontal="center" wrapText="1"/>
    </xf>
    <xf numFmtId="0" fontId="17" fillId="0" borderId="0" xfId="1" applyFont="1" applyAlignment="1">
      <alignment horizontal="center" wrapText="1"/>
    </xf>
    <xf numFmtId="0" fontId="17" fillId="8" borderId="26" xfId="1" applyFont="1" applyFill="1" applyBorder="1" applyAlignment="1">
      <alignment horizontal="center" wrapText="1"/>
    </xf>
    <xf numFmtId="0" fontId="26" fillId="0" borderId="0" xfId="0" applyFont="1" applyAlignment="1">
      <alignment horizontal="left" wrapText="1"/>
    </xf>
    <xf numFmtId="0" fontId="39" fillId="11" borderId="15" xfId="0" applyFont="1" applyFill="1" applyBorder="1" applyAlignment="1">
      <alignment horizontal="left" vertical="top" wrapText="1"/>
    </xf>
    <xf numFmtId="0" fontId="39" fillId="11" borderId="26" xfId="0" applyFont="1" applyFill="1" applyBorder="1" applyAlignment="1">
      <alignment horizontal="left" vertical="top" wrapText="1"/>
    </xf>
    <xf numFmtId="0" fontId="39" fillId="11" borderId="18" xfId="0" applyFont="1" applyFill="1" applyBorder="1" applyAlignment="1">
      <alignment horizontal="left" vertical="top" wrapText="1"/>
    </xf>
    <xf numFmtId="0" fontId="39" fillId="11" borderId="34" xfId="0" applyFont="1" applyFill="1" applyBorder="1" applyAlignment="1">
      <alignment horizontal="left" vertical="top" wrapText="1"/>
    </xf>
    <xf numFmtId="0" fontId="39" fillId="11" borderId="0" xfId="0" applyFont="1" applyFill="1" applyAlignment="1">
      <alignment horizontal="left" vertical="top" wrapText="1"/>
    </xf>
    <xf numFmtId="0" fontId="39" fillId="11" borderId="35" xfId="0" applyFont="1" applyFill="1" applyBorder="1" applyAlignment="1">
      <alignment horizontal="left" vertical="top" wrapText="1"/>
    </xf>
    <xf numFmtId="0" fontId="30" fillId="9" borderId="39" xfId="0" applyFont="1" applyFill="1" applyBorder="1" applyAlignment="1">
      <alignment horizontal="center" wrapText="1"/>
    </xf>
    <xf numFmtId="0" fontId="30" fillId="9" borderId="42" xfId="0" applyFont="1" applyFill="1" applyBorder="1" applyAlignment="1">
      <alignment horizontal="center" wrapText="1"/>
    </xf>
  </cellXfs>
  <cellStyles count="4">
    <cellStyle name="Comma" xfId="2" builtinId="3"/>
    <cellStyle name="Currency" xfId="3" builtinId="4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04"/>
  <sheetViews>
    <sheetView showGridLines="0" tabSelected="1" zoomScale="71" zoomScaleNormal="71" workbookViewId="0">
      <selection activeCell="Y23" sqref="Y23"/>
    </sheetView>
  </sheetViews>
  <sheetFormatPr defaultColWidth="14.42578125" defaultRowHeight="15" customHeight="1" x14ac:dyDescent="0.2"/>
  <cols>
    <col min="1" max="1" width="0.5703125" style="5" customWidth="1"/>
    <col min="2" max="2" width="11.42578125" style="5" customWidth="1"/>
    <col min="3" max="3" width="14.140625" style="5" customWidth="1"/>
    <col min="4" max="4" width="21.140625" style="5" customWidth="1"/>
    <col min="5" max="5" width="8.85546875" style="5" bestFit="1" customWidth="1"/>
    <col min="6" max="6" width="11.140625" style="5" customWidth="1"/>
    <col min="7" max="20" width="10.85546875" style="5" customWidth="1"/>
    <col min="21" max="21" width="16.85546875" style="5" customWidth="1"/>
    <col min="22" max="22" width="8.140625" style="5" customWidth="1"/>
    <col min="23" max="23" width="11.5703125" style="5" customWidth="1"/>
    <col min="24" max="16384" width="14.42578125" style="5"/>
  </cols>
  <sheetData>
    <row r="1" spans="1:23" ht="16.5" customHeight="1" x14ac:dyDescent="0.2">
      <c r="A1" s="134"/>
      <c r="B1" s="4"/>
      <c r="C1" s="4"/>
      <c r="D1" s="4"/>
      <c r="E1" s="4"/>
      <c r="F1" s="4"/>
      <c r="G1" s="4"/>
      <c r="H1" s="4"/>
      <c r="I1" s="4"/>
      <c r="J1" s="4"/>
      <c r="K1" s="135"/>
      <c r="L1" s="41"/>
      <c r="M1" s="42"/>
      <c r="N1" s="136"/>
      <c r="O1" s="135"/>
      <c r="P1" s="41"/>
      <c r="Q1" s="42"/>
      <c r="R1" s="42"/>
      <c r="S1" s="136"/>
      <c r="T1" s="136"/>
      <c r="U1" s="4"/>
    </row>
    <row r="2" spans="1:23" s="2" customFormat="1" ht="60.75" customHeight="1" x14ac:dyDescent="1.2">
      <c r="A2" s="1" t="s">
        <v>0</v>
      </c>
      <c r="F2" s="3" t="s">
        <v>1</v>
      </c>
      <c r="G2" s="3"/>
      <c r="H2" s="3"/>
      <c r="I2" s="3"/>
      <c r="J2" s="3"/>
      <c r="K2" s="3"/>
      <c r="L2" s="3"/>
      <c r="M2" s="3"/>
      <c r="N2" s="3"/>
    </row>
    <row r="3" spans="1:23" ht="10.5" customHeight="1" x14ac:dyDescent="0.2">
      <c r="B3" s="32"/>
      <c r="U3" s="6"/>
    </row>
    <row r="4" spans="1:23" ht="18.75" thickBot="1" x14ac:dyDescent="0.3">
      <c r="L4" s="83" t="s">
        <v>2</v>
      </c>
      <c r="M4" s="84"/>
      <c r="N4" s="138"/>
      <c r="O4" s="138"/>
      <c r="P4" s="138"/>
      <c r="Q4" s="138"/>
      <c r="U4" s="6"/>
    </row>
    <row r="5" spans="1:23" ht="24" customHeight="1" thickBot="1" x14ac:dyDescent="0.3">
      <c r="B5" s="33"/>
      <c r="C5" s="34"/>
      <c r="D5" s="136"/>
      <c r="E5" s="136"/>
      <c r="F5" s="34"/>
      <c r="G5" s="35"/>
      <c r="I5" s="136"/>
      <c r="J5" s="136"/>
      <c r="K5" s="136"/>
      <c r="L5" s="83" t="s">
        <v>3</v>
      </c>
      <c r="M5" s="84"/>
      <c r="N5" s="139"/>
      <c r="O5" s="139"/>
      <c r="P5" s="139"/>
      <c r="Q5" s="139"/>
      <c r="R5" s="36"/>
      <c r="S5" s="37"/>
      <c r="T5" s="37"/>
      <c r="U5" s="6"/>
    </row>
    <row r="6" spans="1:23" ht="18" x14ac:dyDescent="0.25">
      <c r="B6" s="34"/>
      <c r="C6" s="34"/>
      <c r="D6" s="34"/>
      <c r="E6" s="34"/>
      <c r="F6" s="34"/>
      <c r="G6" s="34"/>
      <c r="H6" s="34"/>
      <c r="I6" s="34"/>
      <c r="L6" s="83" t="s">
        <v>5</v>
      </c>
      <c r="M6" s="84"/>
      <c r="N6" s="140" t="s">
        <v>6</v>
      </c>
      <c r="O6" s="140"/>
      <c r="P6" s="140"/>
      <c r="Q6" s="85"/>
      <c r="R6" s="36"/>
      <c r="S6" s="37"/>
      <c r="T6" s="37"/>
      <c r="U6" s="6"/>
    </row>
    <row r="7" spans="1:23" ht="18" x14ac:dyDescent="0.25">
      <c r="B7" s="34"/>
      <c r="C7" s="34"/>
      <c r="D7" s="34"/>
      <c r="E7" s="34"/>
      <c r="F7" s="34"/>
      <c r="G7" s="34"/>
      <c r="H7" s="34"/>
      <c r="I7" s="34"/>
      <c r="L7" s="83" t="s">
        <v>7</v>
      </c>
      <c r="M7" s="84"/>
      <c r="N7" s="86"/>
      <c r="O7" s="86"/>
      <c r="P7" s="86"/>
      <c r="Q7" s="87"/>
      <c r="R7" s="36"/>
      <c r="S7" s="37"/>
      <c r="T7" s="37"/>
      <c r="U7" s="6"/>
    </row>
    <row r="8" spans="1:23" ht="18" x14ac:dyDescent="0.25">
      <c r="B8" s="34"/>
      <c r="C8" s="34"/>
      <c r="D8" s="34"/>
      <c r="E8" s="34"/>
      <c r="F8" s="34"/>
      <c r="G8" s="34"/>
      <c r="H8" s="34"/>
      <c r="I8" s="34"/>
      <c r="L8" s="83" t="s">
        <v>8</v>
      </c>
      <c r="M8" s="84"/>
      <c r="N8" s="87" t="s">
        <v>9</v>
      </c>
      <c r="O8" s="87"/>
      <c r="P8" s="87"/>
      <c r="Q8" s="87"/>
      <c r="R8" s="36"/>
      <c r="S8" s="37"/>
      <c r="T8" s="37"/>
      <c r="U8" s="6"/>
    </row>
    <row r="9" spans="1:23" ht="18" x14ac:dyDescent="0.25">
      <c r="B9" s="34"/>
      <c r="C9" s="34"/>
      <c r="D9" s="34"/>
      <c r="E9" s="34"/>
      <c r="F9" s="34"/>
      <c r="G9" s="34"/>
      <c r="H9" s="34"/>
      <c r="I9" s="34"/>
      <c r="L9" s="83"/>
      <c r="M9" s="84"/>
      <c r="N9" s="87"/>
      <c r="O9" s="87"/>
      <c r="P9" s="87"/>
      <c r="Q9" s="87"/>
      <c r="R9" s="36"/>
      <c r="S9" s="37"/>
      <c r="T9" s="37"/>
      <c r="U9" s="6"/>
    </row>
    <row r="10" spans="1:23" ht="24.75" customHeight="1" x14ac:dyDescent="0.25">
      <c r="B10" s="33"/>
      <c r="C10" s="34"/>
      <c r="D10" s="34"/>
      <c r="E10" s="34"/>
      <c r="F10" s="34"/>
      <c r="G10" s="34"/>
      <c r="H10" s="34"/>
      <c r="L10" s="83" t="s">
        <v>10</v>
      </c>
      <c r="M10" s="84"/>
      <c r="N10" s="141"/>
      <c r="O10" s="141"/>
      <c r="P10" s="141"/>
      <c r="Q10" s="87"/>
      <c r="U10" s="6"/>
    </row>
    <row r="11" spans="1:23" ht="19.5" customHeight="1" x14ac:dyDescent="0.25">
      <c r="B11" s="38"/>
      <c r="C11" s="34"/>
      <c r="D11" s="136"/>
      <c r="E11" s="136"/>
      <c r="G11" s="38"/>
      <c r="H11" s="34"/>
      <c r="I11" s="136"/>
      <c r="L11" s="83" t="s">
        <v>11</v>
      </c>
      <c r="M11" s="84"/>
      <c r="N11" s="141"/>
      <c r="O11" s="141"/>
      <c r="P11" s="141"/>
      <c r="Q11" s="87"/>
      <c r="R11" s="39"/>
      <c r="S11" s="136"/>
      <c r="T11" s="136"/>
      <c r="U11" s="40"/>
    </row>
    <row r="12" spans="1:23" ht="16.5" customHeight="1" x14ac:dyDescent="0.2">
      <c r="B12" s="38"/>
      <c r="C12" s="34"/>
      <c r="D12" s="136"/>
      <c r="E12" s="136"/>
      <c r="G12" s="38"/>
      <c r="H12" s="34"/>
      <c r="I12" s="136"/>
      <c r="L12" s="38"/>
      <c r="M12" s="39"/>
      <c r="N12" s="136"/>
      <c r="P12" s="38"/>
      <c r="Q12" s="39"/>
      <c r="R12" s="39"/>
      <c r="S12" s="136"/>
      <c r="T12" s="136"/>
      <c r="U12" s="40"/>
    </row>
    <row r="13" spans="1:23" ht="16.5" customHeight="1" x14ac:dyDescent="0.2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146" t="s">
        <v>12</v>
      </c>
      <c r="W13" s="146"/>
    </row>
    <row r="14" spans="1:23" ht="51" customHeight="1" x14ac:dyDescent="0.2">
      <c r="A14" s="137"/>
      <c r="B14" s="88" t="s">
        <v>13</v>
      </c>
      <c r="C14" s="18" t="s">
        <v>14</v>
      </c>
      <c r="D14" s="19" t="s">
        <v>15</v>
      </c>
      <c r="E14" s="19" t="s">
        <v>16</v>
      </c>
      <c r="F14" s="19" t="s">
        <v>17</v>
      </c>
      <c r="G14" s="29" t="s">
        <v>18</v>
      </c>
      <c r="H14" s="29" t="s">
        <v>19</v>
      </c>
      <c r="I14" s="29" t="s">
        <v>20</v>
      </c>
      <c r="J14" s="29" t="s">
        <v>21</v>
      </c>
      <c r="K14" s="29" t="s">
        <v>22</v>
      </c>
      <c r="L14" s="29" t="s">
        <v>23</v>
      </c>
      <c r="M14" s="29" t="s">
        <v>24</v>
      </c>
      <c r="N14" s="29" t="s">
        <v>25</v>
      </c>
      <c r="O14" s="29" t="s">
        <v>26</v>
      </c>
      <c r="P14" s="29" t="s">
        <v>27</v>
      </c>
      <c r="Q14" s="29" t="s">
        <v>28</v>
      </c>
      <c r="R14" s="29" t="s">
        <v>29</v>
      </c>
      <c r="S14" s="29" t="s">
        <v>30</v>
      </c>
      <c r="T14" s="29" t="s">
        <v>31</v>
      </c>
      <c r="U14" s="30" t="s">
        <v>32</v>
      </c>
      <c r="V14" s="77" t="s">
        <v>33</v>
      </c>
      <c r="W14" s="77" t="s">
        <v>34</v>
      </c>
    </row>
    <row r="15" spans="1:23" ht="16.5" customHeight="1" x14ac:dyDescent="0.2">
      <c r="B15" s="20"/>
      <c r="C15" s="43"/>
      <c r="D15" s="7"/>
      <c r="E15" s="7"/>
      <c r="F15" s="7"/>
      <c r="G15" s="7" t="str">
        <f t="shared" ref="G15:K29" si="0">IF($D15=G$14,$F15,"")</f>
        <v/>
      </c>
      <c r="H15" s="7" t="str">
        <f t="shared" si="0"/>
        <v/>
      </c>
      <c r="I15" s="7" t="str">
        <f t="shared" si="0"/>
        <v/>
      </c>
      <c r="J15" s="7" t="str">
        <f t="shared" si="0"/>
        <v/>
      </c>
      <c r="K15" s="7" t="str">
        <f t="shared" si="0"/>
        <v/>
      </c>
      <c r="L15" s="7"/>
      <c r="M15" s="7" t="str">
        <f t="shared" ref="M15:T29" si="1">IF($D15=M$14,$F15,"")</f>
        <v/>
      </c>
      <c r="N15" s="7" t="str">
        <f t="shared" si="1"/>
        <v/>
      </c>
      <c r="O15" s="7" t="str">
        <f t="shared" si="1"/>
        <v/>
      </c>
      <c r="P15" s="7" t="str">
        <f t="shared" si="1"/>
        <v/>
      </c>
      <c r="Q15" s="7" t="str">
        <f t="shared" si="1"/>
        <v/>
      </c>
      <c r="R15" s="7" t="str">
        <f t="shared" si="1"/>
        <v/>
      </c>
      <c r="S15" s="7" t="str">
        <f t="shared" si="1"/>
        <v/>
      </c>
      <c r="T15" s="7"/>
      <c r="U15" s="21">
        <f t="shared" ref="U15:U29" si="2">SUM(G15:T15)</f>
        <v>0</v>
      </c>
      <c r="V15" s="21">
        <v>0</v>
      </c>
      <c r="W15" s="21">
        <f>+U15-V15</f>
        <v>0</v>
      </c>
    </row>
    <row r="16" spans="1:23" ht="16.5" customHeight="1" x14ac:dyDescent="0.2">
      <c r="B16" s="22"/>
      <c r="C16" s="43"/>
      <c r="D16" s="8"/>
      <c r="E16" s="7"/>
      <c r="F16" s="8"/>
      <c r="G16" s="8" t="str">
        <f t="shared" si="0"/>
        <v/>
      </c>
      <c r="H16" s="8" t="str">
        <f t="shared" si="0"/>
        <v/>
      </c>
      <c r="I16" s="8" t="str">
        <f t="shared" si="0"/>
        <v/>
      </c>
      <c r="J16" s="8" t="str">
        <f t="shared" si="0"/>
        <v/>
      </c>
      <c r="K16" s="8" t="str">
        <f t="shared" si="0"/>
        <v/>
      </c>
      <c r="L16" s="7"/>
      <c r="M16" s="8" t="str">
        <f t="shared" si="1"/>
        <v/>
      </c>
      <c r="N16" s="8" t="str">
        <f t="shared" si="1"/>
        <v/>
      </c>
      <c r="O16" s="8" t="str">
        <f t="shared" si="1"/>
        <v/>
      </c>
      <c r="P16" s="8" t="str">
        <f t="shared" si="1"/>
        <v/>
      </c>
      <c r="Q16" s="8" t="str">
        <f t="shared" si="1"/>
        <v/>
      </c>
      <c r="R16" s="8" t="str">
        <f t="shared" si="1"/>
        <v/>
      </c>
      <c r="S16" s="8" t="str">
        <f t="shared" si="1"/>
        <v/>
      </c>
      <c r="T16" s="8"/>
      <c r="U16" s="23">
        <f t="shared" si="2"/>
        <v>0</v>
      </c>
      <c r="V16" s="23">
        <v>0</v>
      </c>
      <c r="W16" s="23">
        <f>+U16-V16</f>
        <v>0</v>
      </c>
    </row>
    <row r="17" spans="2:23" ht="16.5" customHeight="1" x14ac:dyDescent="0.2">
      <c r="B17" s="24"/>
      <c r="C17" s="43"/>
      <c r="D17" s="8"/>
      <c r="E17" s="7"/>
      <c r="F17" s="9"/>
      <c r="G17" s="9" t="str">
        <f t="shared" si="0"/>
        <v/>
      </c>
      <c r="H17" s="9" t="str">
        <f t="shared" si="0"/>
        <v/>
      </c>
      <c r="I17" s="9" t="str">
        <f t="shared" si="0"/>
        <v/>
      </c>
      <c r="J17" s="9" t="str">
        <f t="shared" si="0"/>
        <v/>
      </c>
      <c r="K17" s="9" t="str">
        <f t="shared" si="0"/>
        <v/>
      </c>
      <c r="L17" s="7"/>
      <c r="M17" s="9" t="str">
        <f t="shared" si="1"/>
        <v/>
      </c>
      <c r="N17" s="9" t="str">
        <f t="shared" si="1"/>
        <v/>
      </c>
      <c r="O17" s="9" t="str">
        <f t="shared" si="1"/>
        <v/>
      </c>
      <c r="P17" s="9" t="str">
        <f t="shared" si="1"/>
        <v/>
      </c>
      <c r="Q17" s="9" t="str">
        <f t="shared" si="1"/>
        <v/>
      </c>
      <c r="R17" s="9" t="str">
        <f t="shared" si="1"/>
        <v/>
      </c>
      <c r="S17" s="9" t="str">
        <f t="shared" si="1"/>
        <v/>
      </c>
      <c r="T17" s="9" t="str">
        <f t="shared" si="1"/>
        <v/>
      </c>
      <c r="U17" s="23">
        <f t="shared" si="2"/>
        <v>0</v>
      </c>
      <c r="V17" s="23">
        <v>0</v>
      </c>
      <c r="W17" s="23">
        <f>+U17-V17</f>
        <v>0</v>
      </c>
    </row>
    <row r="18" spans="2:23" ht="16.5" customHeight="1" x14ac:dyDescent="0.2">
      <c r="B18" s="22"/>
      <c r="C18" s="43"/>
      <c r="D18" s="7"/>
      <c r="E18" s="7"/>
      <c r="F18" s="8"/>
      <c r="G18" s="8" t="str">
        <f t="shared" si="0"/>
        <v/>
      </c>
      <c r="H18" s="8" t="str">
        <f t="shared" si="0"/>
        <v/>
      </c>
      <c r="I18" s="8" t="str">
        <f t="shared" si="0"/>
        <v/>
      </c>
      <c r="J18" s="8" t="str">
        <f t="shared" si="0"/>
        <v/>
      </c>
      <c r="K18" s="8" t="str">
        <f t="shared" si="0"/>
        <v/>
      </c>
      <c r="L18" s="7"/>
      <c r="M18" s="8" t="str">
        <f t="shared" si="1"/>
        <v/>
      </c>
      <c r="N18" s="8" t="str">
        <f t="shared" si="1"/>
        <v/>
      </c>
      <c r="O18" s="8" t="str">
        <f t="shared" si="1"/>
        <v/>
      </c>
      <c r="P18" s="8" t="str">
        <f t="shared" si="1"/>
        <v/>
      </c>
      <c r="Q18" s="8" t="str">
        <f t="shared" si="1"/>
        <v/>
      </c>
      <c r="R18" s="8" t="str">
        <f t="shared" si="1"/>
        <v/>
      </c>
      <c r="S18" s="8" t="str">
        <f t="shared" si="1"/>
        <v/>
      </c>
      <c r="T18" s="8" t="str">
        <f t="shared" si="1"/>
        <v/>
      </c>
      <c r="U18" s="23">
        <f t="shared" si="2"/>
        <v>0</v>
      </c>
      <c r="V18" s="23">
        <v>0</v>
      </c>
      <c r="W18" s="23">
        <f t="shared" ref="W18:W29" si="3">+U18-V18</f>
        <v>0</v>
      </c>
    </row>
    <row r="19" spans="2:23" ht="16.5" customHeight="1" x14ac:dyDescent="0.2">
      <c r="B19" s="24"/>
      <c r="C19" s="43"/>
      <c r="D19" s="8"/>
      <c r="E19" s="7"/>
      <c r="F19" s="9"/>
      <c r="G19" s="9" t="str">
        <f t="shared" si="0"/>
        <v/>
      </c>
      <c r="H19" s="9" t="str">
        <f t="shared" si="0"/>
        <v/>
      </c>
      <c r="I19" s="9" t="str">
        <f t="shared" si="0"/>
        <v/>
      </c>
      <c r="J19" s="9" t="str">
        <f t="shared" si="0"/>
        <v/>
      </c>
      <c r="K19" s="9" t="str">
        <f t="shared" si="0"/>
        <v/>
      </c>
      <c r="L19" s="7"/>
      <c r="M19" s="9" t="str">
        <f t="shared" si="1"/>
        <v/>
      </c>
      <c r="N19" s="9" t="str">
        <f t="shared" si="1"/>
        <v/>
      </c>
      <c r="O19" s="9" t="str">
        <f t="shared" si="1"/>
        <v/>
      </c>
      <c r="P19" s="9" t="str">
        <f t="shared" si="1"/>
        <v/>
      </c>
      <c r="Q19" s="9" t="str">
        <f t="shared" si="1"/>
        <v/>
      </c>
      <c r="R19" s="9" t="str">
        <f t="shared" si="1"/>
        <v/>
      </c>
      <c r="S19" s="9" t="str">
        <f t="shared" si="1"/>
        <v/>
      </c>
      <c r="T19" s="9" t="str">
        <f t="shared" si="1"/>
        <v/>
      </c>
      <c r="U19" s="23">
        <f t="shared" si="2"/>
        <v>0</v>
      </c>
      <c r="V19" s="23">
        <v>0</v>
      </c>
      <c r="W19" s="23">
        <f t="shared" si="3"/>
        <v>0</v>
      </c>
    </row>
    <row r="20" spans="2:23" ht="16.5" customHeight="1" x14ac:dyDescent="0.2">
      <c r="B20" s="22"/>
      <c r="C20" s="43"/>
      <c r="D20" s="8"/>
      <c r="E20" s="7"/>
      <c r="F20" s="9"/>
      <c r="G20" s="8" t="str">
        <f t="shared" si="0"/>
        <v/>
      </c>
      <c r="H20" s="8" t="str">
        <f t="shared" si="0"/>
        <v/>
      </c>
      <c r="I20" s="8" t="str">
        <f t="shared" si="0"/>
        <v/>
      </c>
      <c r="J20" s="8" t="str">
        <f t="shared" si="0"/>
        <v/>
      </c>
      <c r="K20" s="8" t="str">
        <f t="shared" si="0"/>
        <v/>
      </c>
      <c r="L20" s="7"/>
      <c r="M20" s="8" t="str">
        <f t="shared" si="1"/>
        <v/>
      </c>
      <c r="N20" s="8" t="str">
        <f t="shared" si="1"/>
        <v/>
      </c>
      <c r="O20" s="8" t="str">
        <f t="shared" si="1"/>
        <v/>
      </c>
      <c r="P20" s="8" t="str">
        <f t="shared" si="1"/>
        <v/>
      </c>
      <c r="Q20" s="8" t="str">
        <f t="shared" si="1"/>
        <v/>
      </c>
      <c r="R20" s="8" t="str">
        <f t="shared" si="1"/>
        <v/>
      </c>
      <c r="S20" s="8" t="str">
        <f t="shared" si="1"/>
        <v/>
      </c>
      <c r="T20" s="8" t="str">
        <f t="shared" si="1"/>
        <v/>
      </c>
      <c r="U20" s="23">
        <f t="shared" si="2"/>
        <v>0</v>
      </c>
      <c r="V20" s="23">
        <v>0</v>
      </c>
      <c r="W20" s="23">
        <f t="shared" si="3"/>
        <v>0</v>
      </c>
    </row>
    <row r="21" spans="2:23" ht="16.5" customHeight="1" x14ac:dyDescent="0.2">
      <c r="B21" s="24"/>
      <c r="C21" s="43"/>
      <c r="D21" s="7"/>
      <c r="E21" s="7"/>
      <c r="F21" s="9"/>
      <c r="G21" s="24" t="str">
        <f t="shared" si="0"/>
        <v/>
      </c>
      <c r="H21" s="9" t="str">
        <f t="shared" si="0"/>
        <v/>
      </c>
      <c r="I21" s="9" t="str">
        <f t="shared" si="0"/>
        <v/>
      </c>
      <c r="J21" s="9" t="str">
        <f t="shared" si="0"/>
        <v/>
      </c>
      <c r="K21" s="9" t="str">
        <f t="shared" si="0"/>
        <v/>
      </c>
      <c r="L21" s="7"/>
      <c r="M21" s="9" t="str">
        <f t="shared" si="1"/>
        <v/>
      </c>
      <c r="N21" s="9" t="str">
        <f t="shared" si="1"/>
        <v/>
      </c>
      <c r="O21" s="9" t="str">
        <f t="shared" si="1"/>
        <v/>
      </c>
      <c r="P21" s="9" t="str">
        <f t="shared" si="1"/>
        <v/>
      </c>
      <c r="Q21" s="9" t="str">
        <f t="shared" si="1"/>
        <v/>
      </c>
      <c r="R21" s="9" t="str">
        <f t="shared" si="1"/>
        <v/>
      </c>
      <c r="S21" s="9" t="str">
        <f t="shared" si="1"/>
        <v/>
      </c>
      <c r="T21" s="9" t="str">
        <f t="shared" si="1"/>
        <v/>
      </c>
      <c r="U21" s="23">
        <f t="shared" si="2"/>
        <v>0</v>
      </c>
      <c r="V21" s="23">
        <v>0</v>
      </c>
      <c r="W21" s="23">
        <f t="shared" si="3"/>
        <v>0</v>
      </c>
    </row>
    <row r="22" spans="2:23" ht="16.5" customHeight="1" x14ac:dyDescent="0.2">
      <c r="B22" s="22"/>
      <c r="C22" s="43"/>
      <c r="D22" s="8"/>
      <c r="E22" s="8"/>
      <c r="F22" s="10"/>
      <c r="G22" s="8" t="str">
        <f t="shared" si="0"/>
        <v/>
      </c>
      <c r="H22" s="8" t="str">
        <f t="shared" si="0"/>
        <v/>
      </c>
      <c r="I22" s="8" t="str">
        <f t="shared" si="0"/>
        <v/>
      </c>
      <c r="J22" s="8" t="str">
        <f t="shared" si="0"/>
        <v/>
      </c>
      <c r="K22" s="8" t="str">
        <f t="shared" si="0"/>
        <v/>
      </c>
      <c r="L22" s="8" t="str">
        <f>IF(OR($D22='Expense Descriptions'!$A$2,$D22='Expense Descriptions'!$A$3),$F22,"")</f>
        <v/>
      </c>
      <c r="M22" s="8" t="str">
        <f t="shared" si="1"/>
        <v/>
      </c>
      <c r="N22" s="8" t="str">
        <f t="shared" si="1"/>
        <v/>
      </c>
      <c r="O22" s="8" t="str">
        <f t="shared" si="1"/>
        <v/>
      </c>
      <c r="P22" s="8" t="str">
        <f t="shared" si="1"/>
        <v/>
      </c>
      <c r="Q22" s="8" t="str">
        <f t="shared" si="1"/>
        <v/>
      </c>
      <c r="R22" s="8" t="str">
        <f t="shared" si="1"/>
        <v/>
      </c>
      <c r="S22" s="8" t="str">
        <f t="shared" si="1"/>
        <v/>
      </c>
      <c r="T22" s="8" t="str">
        <f t="shared" si="1"/>
        <v/>
      </c>
      <c r="U22" s="23">
        <f t="shared" si="2"/>
        <v>0</v>
      </c>
      <c r="V22" s="23">
        <v>0</v>
      </c>
      <c r="W22" s="23">
        <f t="shared" si="3"/>
        <v>0</v>
      </c>
    </row>
    <row r="23" spans="2:23" ht="16.5" customHeight="1" x14ac:dyDescent="0.2">
      <c r="B23" s="24"/>
      <c r="C23" s="43"/>
      <c r="D23" s="9"/>
      <c r="E23" s="9"/>
      <c r="F23" s="9"/>
      <c r="G23" s="9" t="str">
        <f t="shared" si="0"/>
        <v/>
      </c>
      <c r="H23" s="9" t="str">
        <f t="shared" si="0"/>
        <v/>
      </c>
      <c r="I23" s="9" t="str">
        <f t="shared" si="0"/>
        <v/>
      </c>
      <c r="J23" s="9" t="str">
        <f t="shared" si="0"/>
        <v/>
      </c>
      <c r="K23" s="9" t="str">
        <f t="shared" si="0"/>
        <v/>
      </c>
      <c r="L23" s="9" t="str">
        <f>IF(OR($D23='Expense Descriptions'!$A$2,$D23='Expense Descriptions'!$A$3),$F23,"")</f>
        <v/>
      </c>
      <c r="M23" s="9" t="str">
        <f t="shared" si="1"/>
        <v/>
      </c>
      <c r="N23" s="9" t="str">
        <f t="shared" si="1"/>
        <v/>
      </c>
      <c r="O23" s="9" t="str">
        <f t="shared" si="1"/>
        <v/>
      </c>
      <c r="P23" s="9" t="str">
        <f t="shared" si="1"/>
        <v/>
      </c>
      <c r="Q23" s="9" t="str">
        <f t="shared" si="1"/>
        <v/>
      </c>
      <c r="R23" s="9" t="str">
        <f t="shared" si="1"/>
        <v/>
      </c>
      <c r="S23" s="9" t="str">
        <f t="shared" si="1"/>
        <v/>
      </c>
      <c r="T23" s="9" t="str">
        <f t="shared" si="1"/>
        <v/>
      </c>
      <c r="U23" s="23">
        <f t="shared" si="2"/>
        <v>0</v>
      </c>
      <c r="V23" s="23">
        <v>0</v>
      </c>
      <c r="W23" s="23">
        <f t="shared" si="3"/>
        <v>0</v>
      </c>
    </row>
    <row r="24" spans="2:23" ht="16.5" customHeight="1" x14ac:dyDescent="0.2">
      <c r="B24" s="22"/>
      <c r="C24" s="44"/>
      <c r="D24" s="8"/>
      <c r="E24" s="8"/>
      <c r="F24" s="10"/>
      <c r="G24" s="8" t="str">
        <f t="shared" si="0"/>
        <v/>
      </c>
      <c r="H24" s="8" t="str">
        <f t="shared" si="0"/>
        <v/>
      </c>
      <c r="I24" s="8" t="str">
        <f t="shared" si="0"/>
        <v/>
      </c>
      <c r="J24" s="8" t="str">
        <f t="shared" si="0"/>
        <v/>
      </c>
      <c r="K24" s="8" t="str">
        <f t="shared" si="0"/>
        <v/>
      </c>
      <c r="L24" s="8" t="str">
        <f>IF(OR($D24='Expense Descriptions'!$A$2,$D24='Expense Descriptions'!$A$3),$F24,"")</f>
        <v/>
      </c>
      <c r="M24" s="8" t="str">
        <f t="shared" si="1"/>
        <v/>
      </c>
      <c r="N24" s="8" t="str">
        <f t="shared" si="1"/>
        <v/>
      </c>
      <c r="O24" s="8" t="str">
        <f t="shared" si="1"/>
        <v/>
      </c>
      <c r="P24" s="8" t="str">
        <f t="shared" si="1"/>
        <v/>
      </c>
      <c r="Q24" s="8" t="str">
        <f t="shared" si="1"/>
        <v/>
      </c>
      <c r="R24" s="8" t="str">
        <f t="shared" si="1"/>
        <v/>
      </c>
      <c r="S24" s="8" t="str">
        <f t="shared" si="1"/>
        <v/>
      </c>
      <c r="T24" s="8" t="str">
        <f t="shared" si="1"/>
        <v/>
      </c>
      <c r="U24" s="23">
        <f t="shared" si="2"/>
        <v>0</v>
      </c>
      <c r="V24" s="23">
        <v>0</v>
      </c>
      <c r="W24" s="23">
        <f t="shared" si="3"/>
        <v>0</v>
      </c>
    </row>
    <row r="25" spans="2:23" ht="16.5" customHeight="1" x14ac:dyDescent="0.2">
      <c r="B25" s="24"/>
      <c r="C25" s="45"/>
      <c r="D25" s="9"/>
      <c r="E25" s="9"/>
      <c r="F25" s="9"/>
      <c r="G25" s="9" t="str">
        <f t="shared" si="0"/>
        <v/>
      </c>
      <c r="H25" s="9" t="str">
        <f t="shared" si="0"/>
        <v/>
      </c>
      <c r="I25" s="9" t="str">
        <f t="shared" si="0"/>
        <v/>
      </c>
      <c r="J25" s="9" t="str">
        <f t="shared" si="0"/>
        <v/>
      </c>
      <c r="K25" s="9" t="str">
        <f t="shared" si="0"/>
        <v/>
      </c>
      <c r="L25" s="9" t="str">
        <f>IF(OR($D25='Expense Descriptions'!$A$2,$D25='Expense Descriptions'!$A$3),$F25,"")</f>
        <v/>
      </c>
      <c r="M25" s="9" t="str">
        <f t="shared" si="1"/>
        <v/>
      </c>
      <c r="N25" s="9" t="str">
        <f t="shared" si="1"/>
        <v/>
      </c>
      <c r="O25" s="9" t="str">
        <f t="shared" si="1"/>
        <v/>
      </c>
      <c r="P25" s="9" t="str">
        <f t="shared" si="1"/>
        <v/>
      </c>
      <c r="Q25" s="9" t="str">
        <f t="shared" si="1"/>
        <v/>
      </c>
      <c r="R25" s="9" t="str">
        <f t="shared" si="1"/>
        <v/>
      </c>
      <c r="S25" s="9" t="str">
        <f t="shared" si="1"/>
        <v/>
      </c>
      <c r="T25" s="9" t="str">
        <f t="shared" si="1"/>
        <v/>
      </c>
      <c r="U25" s="23">
        <f t="shared" si="2"/>
        <v>0</v>
      </c>
      <c r="V25" s="23">
        <v>0</v>
      </c>
      <c r="W25" s="23">
        <f t="shared" si="3"/>
        <v>0</v>
      </c>
    </row>
    <row r="26" spans="2:23" ht="16.5" customHeight="1" x14ac:dyDescent="0.2">
      <c r="B26" s="22"/>
      <c r="C26" s="44"/>
      <c r="D26" s="8"/>
      <c r="E26" s="8"/>
      <c r="F26" s="10"/>
      <c r="G26" s="8" t="str">
        <f t="shared" si="0"/>
        <v/>
      </c>
      <c r="H26" s="8" t="str">
        <f t="shared" si="0"/>
        <v/>
      </c>
      <c r="I26" s="8" t="str">
        <f t="shared" si="0"/>
        <v/>
      </c>
      <c r="J26" s="8" t="str">
        <f t="shared" si="0"/>
        <v/>
      </c>
      <c r="K26" s="8" t="str">
        <f t="shared" si="0"/>
        <v/>
      </c>
      <c r="L26" s="8" t="str">
        <f>IF(OR($D26='Expense Descriptions'!$A$2,$D26='Expense Descriptions'!$A$3),$F26,"")</f>
        <v/>
      </c>
      <c r="M26" s="8" t="str">
        <f t="shared" si="1"/>
        <v/>
      </c>
      <c r="N26" s="8" t="str">
        <f t="shared" si="1"/>
        <v/>
      </c>
      <c r="O26" s="8" t="str">
        <f t="shared" si="1"/>
        <v/>
      </c>
      <c r="P26" s="8" t="str">
        <f t="shared" si="1"/>
        <v/>
      </c>
      <c r="Q26" s="8" t="str">
        <f t="shared" si="1"/>
        <v/>
      </c>
      <c r="R26" s="8" t="str">
        <f t="shared" si="1"/>
        <v/>
      </c>
      <c r="S26" s="8" t="str">
        <f t="shared" si="1"/>
        <v/>
      </c>
      <c r="T26" s="8" t="str">
        <f t="shared" si="1"/>
        <v/>
      </c>
      <c r="U26" s="23">
        <f t="shared" si="2"/>
        <v>0</v>
      </c>
      <c r="V26" s="23">
        <v>0</v>
      </c>
      <c r="W26" s="23">
        <f t="shared" si="3"/>
        <v>0</v>
      </c>
    </row>
    <row r="27" spans="2:23" ht="16.5" customHeight="1" x14ac:dyDescent="0.2">
      <c r="B27" s="24"/>
      <c r="C27" s="45"/>
      <c r="D27" s="9"/>
      <c r="E27" s="9"/>
      <c r="F27" s="9"/>
      <c r="G27" s="9" t="str">
        <f t="shared" si="0"/>
        <v/>
      </c>
      <c r="H27" s="9" t="str">
        <f t="shared" si="0"/>
        <v/>
      </c>
      <c r="I27" s="9" t="str">
        <f t="shared" si="0"/>
        <v/>
      </c>
      <c r="J27" s="9" t="str">
        <f t="shared" si="0"/>
        <v/>
      </c>
      <c r="K27" s="9" t="str">
        <f t="shared" si="0"/>
        <v/>
      </c>
      <c r="L27" s="9" t="str">
        <f>IF(OR($D27='Expense Descriptions'!$A$2,$D27='Expense Descriptions'!$A$3),$F27,"")</f>
        <v/>
      </c>
      <c r="M27" s="9" t="str">
        <f t="shared" si="1"/>
        <v/>
      </c>
      <c r="N27" s="9" t="str">
        <f t="shared" si="1"/>
        <v/>
      </c>
      <c r="O27" s="9" t="str">
        <f t="shared" si="1"/>
        <v/>
      </c>
      <c r="P27" s="9" t="str">
        <f t="shared" si="1"/>
        <v/>
      </c>
      <c r="Q27" s="9" t="str">
        <f t="shared" si="1"/>
        <v/>
      </c>
      <c r="R27" s="9" t="str">
        <f t="shared" si="1"/>
        <v/>
      </c>
      <c r="S27" s="9" t="str">
        <f t="shared" si="1"/>
        <v/>
      </c>
      <c r="T27" s="9" t="str">
        <f t="shared" si="1"/>
        <v/>
      </c>
      <c r="U27" s="23">
        <f t="shared" si="2"/>
        <v>0</v>
      </c>
      <c r="V27" s="23">
        <v>0</v>
      </c>
      <c r="W27" s="23">
        <f t="shared" si="3"/>
        <v>0</v>
      </c>
    </row>
    <row r="28" spans="2:23" ht="16.5" customHeight="1" x14ac:dyDescent="0.2">
      <c r="B28" s="22"/>
      <c r="C28" s="44"/>
      <c r="D28" s="8"/>
      <c r="E28" s="8"/>
      <c r="F28" s="10"/>
      <c r="G28" s="8" t="str">
        <f t="shared" si="0"/>
        <v/>
      </c>
      <c r="H28" s="8" t="str">
        <f t="shared" si="0"/>
        <v/>
      </c>
      <c r="I28" s="8" t="str">
        <f t="shared" si="0"/>
        <v/>
      </c>
      <c r="J28" s="8" t="str">
        <f t="shared" si="0"/>
        <v/>
      </c>
      <c r="K28" s="8" t="str">
        <f t="shared" si="0"/>
        <v/>
      </c>
      <c r="L28" s="8" t="str">
        <f>IF(OR($D28='Expense Descriptions'!$A$2,$D28='Expense Descriptions'!$A$3),$F28,"")</f>
        <v/>
      </c>
      <c r="M28" s="8" t="str">
        <f t="shared" si="1"/>
        <v/>
      </c>
      <c r="N28" s="8" t="str">
        <f t="shared" si="1"/>
        <v/>
      </c>
      <c r="O28" s="8" t="str">
        <f t="shared" si="1"/>
        <v/>
      </c>
      <c r="P28" s="8" t="str">
        <f t="shared" si="1"/>
        <v/>
      </c>
      <c r="Q28" s="8" t="str">
        <f t="shared" si="1"/>
        <v/>
      </c>
      <c r="R28" s="8" t="str">
        <f t="shared" si="1"/>
        <v/>
      </c>
      <c r="S28" s="8" t="str">
        <f t="shared" si="1"/>
        <v/>
      </c>
      <c r="T28" s="8" t="str">
        <f t="shared" si="1"/>
        <v/>
      </c>
      <c r="U28" s="23">
        <f t="shared" si="2"/>
        <v>0</v>
      </c>
      <c r="V28" s="23">
        <v>0</v>
      </c>
      <c r="W28" s="23">
        <f t="shared" si="3"/>
        <v>0</v>
      </c>
    </row>
    <row r="29" spans="2:23" ht="16.5" customHeight="1" x14ac:dyDescent="0.2">
      <c r="B29" s="25"/>
      <c r="C29" s="46"/>
      <c r="D29" s="31"/>
      <c r="E29" s="31"/>
      <c r="F29" s="26"/>
      <c r="G29" s="31" t="str">
        <f t="shared" si="0"/>
        <v/>
      </c>
      <c r="H29" s="31" t="str">
        <f t="shared" si="0"/>
        <v/>
      </c>
      <c r="I29" s="31" t="str">
        <f t="shared" si="0"/>
        <v/>
      </c>
      <c r="J29" s="31" t="str">
        <f t="shared" si="0"/>
        <v/>
      </c>
      <c r="K29" s="31" t="str">
        <f t="shared" si="0"/>
        <v/>
      </c>
      <c r="L29" s="31" t="str">
        <f>IF(OR($D29='Expense Descriptions'!$A$2,$D29='Expense Descriptions'!$A$3),$F29,"")</f>
        <v/>
      </c>
      <c r="M29" s="31" t="str">
        <f t="shared" si="1"/>
        <v/>
      </c>
      <c r="N29" s="31" t="str">
        <f t="shared" si="1"/>
        <v/>
      </c>
      <c r="O29" s="31" t="str">
        <f t="shared" si="1"/>
        <v/>
      </c>
      <c r="P29" s="31" t="str">
        <f t="shared" si="1"/>
        <v/>
      </c>
      <c r="Q29" s="31" t="str">
        <f t="shared" si="1"/>
        <v/>
      </c>
      <c r="R29" s="31" t="str">
        <f t="shared" si="1"/>
        <v/>
      </c>
      <c r="S29" s="31" t="str">
        <f t="shared" si="1"/>
        <v/>
      </c>
      <c r="T29" s="31" t="str">
        <f t="shared" si="1"/>
        <v/>
      </c>
      <c r="U29" s="133">
        <f t="shared" si="2"/>
        <v>0</v>
      </c>
      <c r="V29" s="27">
        <v>0</v>
      </c>
      <c r="W29" s="47">
        <f t="shared" si="3"/>
        <v>0</v>
      </c>
    </row>
    <row r="30" spans="2:23" ht="16.5" customHeight="1" x14ac:dyDescent="0.2">
      <c r="D30" s="16"/>
      <c r="E30" s="16"/>
      <c r="F30" s="11"/>
      <c r="G30" s="17">
        <f t="shared" ref="G30:N30" si="4">SUM(G15:G29)</f>
        <v>0</v>
      </c>
      <c r="H30" s="17">
        <f t="shared" si="4"/>
        <v>0</v>
      </c>
      <c r="I30" s="17">
        <f t="shared" si="4"/>
        <v>0</v>
      </c>
      <c r="J30" s="17">
        <f t="shared" si="4"/>
        <v>0</v>
      </c>
      <c r="K30" s="17">
        <f t="shared" si="4"/>
        <v>0</v>
      </c>
      <c r="L30" s="17">
        <f t="shared" si="4"/>
        <v>0</v>
      </c>
      <c r="M30" s="17">
        <f t="shared" si="4"/>
        <v>0</v>
      </c>
      <c r="N30" s="17">
        <f t="shared" si="4"/>
        <v>0</v>
      </c>
      <c r="O30" s="17">
        <f t="shared" ref="O30:S30" si="5">SUM(O15:O29)</f>
        <v>0</v>
      </c>
      <c r="P30" s="17">
        <f t="shared" si="5"/>
        <v>0</v>
      </c>
      <c r="Q30" s="17">
        <f t="shared" si="5"/>
        <v>0</v>
      </c>
      <c r="R30" s="17"/>
      <c r="S30" s="17">
        <f t="shared" si="5"/>
        <v>0</v>
      </c>
      <c r="T30" s="17">
        <f t="shared" ref="T30" si="6">SUM(T15:T29)</f>
        <v>0</v>
      </c>
      <c r="U30" s="48"/>
      <c r="V30" s="50"/>
      <c r="W30" s="51"/>
    </row>
    <row r="31" spans="2:23" ht="16.5" customHeight="1" x14ac:dyDescent="0.2">
      <c r="B31" s="149" t="s">
        <v>37</v>
      </c>
      <c r="C31" s="149"/>
      <c r="D31" s="149"/>
      <c r="E31" s="149"/>
      <c r="S31" s="12" t="s">
        <v>38</v>
      </c>
      <c r="T31" s="13"/>
      <c r="U31" s="49">
        <f>SUM(U15:U29)</f>
        <v>0</v>
      </c>
      <c r="V31" s="52">
        <f>SUM(V15:V29)</f>
        <v>0</v>
      </c>
      <c r="W31" s="53">
        <f>SUM(W15:W29)</f>
        <v>0</v>
      </c>
    </row>
    <row r="32" spans="2:23" ht="16.5" customHeight="1" x14ac:dyDescent="0.2">
      <c r="B32" s="149"/>
      <c r="C32" s="149"/>
      <c r="D32" s="149"/>
      <c r="E32" s="149"/>
      <c r="S32" s="13" t="s">
        <v>39</v>
      </c>
      <c r="T32" s="13"/>
      <c r="U32" s="14"/>
    </row>
    <row r="33" spans="2:21" ht="16.5" customHeight="1" x14ac:dyDescent="0.2">
      <c r="B33" s="79" t="s">
        <v>40</v>
      </c>
      <c r="C33" s="78"/>
      <c r="D33" s="78"/>
      <c r="E33" s="78"/>
      <c r="S33" s="13" t="s">
        <v>32</v>
      </c>
      <c r="T33" s="13"/>
      <c r="U33" s="15">
        <f>(U31-U32)</f>
        <v>0</v>
      </c>
    </row>
    <row r="34" spans="2:21" ht="12.75" customHeight="1" x14ac:dyDescent="0.2">
      <c r="C34" s="147"/>
      <c r="D34" s="147"/>
    </row>
    <row r="35" spans="2:21" ht="15" customHeight="1" x14ac:dyDescent="0.2">
      <c r="B35" s="59"/>
      <c r="C35" s="148" t="s">
        <v>12</v>
      </c>
      <c r="D35" s="148"/>
      <c r="E35" s="60"/>
      <c r="F35" s="60"/>
      <c r="G35" s="60"/>
      <c r="H35" s="60"/>
      <c r="I35" s="60"/>
      <c r="J35" s="60"/>
      <c r="K35" s="61"/>
      <c r="L35" s="54"/>
      <c r="M35" s="150" t="s">
        <v>41</v>
      </c>
      <c r="N35" s="151"/>
      <c r="O35" s="151"/>
      <c r="P35" s="151"/>
      <c r="Q35" s="152"/>
    </row>
    <row r="36" spans="2:21" x14ac:dyDescent="0.2">
      <c r="B36" s="62"/>
      <c r="C36" s="63"/>
      <c r="D36" s="63"/>
      <c r="E36" s="64"/>
      <c r="F36" s="65"/>
      <c r="G36" s="66"/>
      <c r="H36" s="67"/>
      <c r="I36" s="67"/>
      <c r="J36" s="64"/>
      <c r="K36" s="68"/>
      <c r="L36" s="54"/>
      <c r="M36" s="153"/>
      <c r="N36" s="154"/>
      <c r="O36" s="154"/>
      <c r="P36" s="154"/>
      <c r="Q36" s="155"/>
    </row>
    <row r="37" spans="2:21" ht="12.75" customHeight="1" x14ac:dyDescent="0.2">
      <c r="B37" s="62" t="s">
        <v>42</v>
      </c>
      <c r="C37" s="69"/>
      <c r="D37" s="63"/>
      <c r="E37" s="65" t="s">
        <v>17</v>
      </c>
      <c r="F37" s="69"/>
      <c r="G37" s="63"/>
      <c r="H37" s="65" t="s">
        <v>43</v>
      </c>
      <c r="I37" s="76"/>
      <c r="J37" s="76"/>
      <c r="K37" s="68"/>
      <c r="L37" s="54"/>
      <c r="M37" s="122"/>
      <c r="N37" s="123"/>
      <c r="O37" s="131" t="s">
        <v>44</v>
      </c>
      <c r="P37" s="144" t="s">
        <v>45</v>
      </c>
      <c r="Q37" s="145"/>
      <c r="S37" s="57" t="s">
        <v>46</v>
      </c>
      <c r="T37" s="56"/>
      <c r="U37" s="56"/>
    </row>
    <row r="38" spans="2:21" ht="12.75" customHeight="1" x14ac:dyDescent="0.2">
      <c r="B38" s="62" t="s">
        <v>42</v>
      </c>
      <c r="C38" s="70"/>
      <c r="D38" s="63"/>
      <c r="E38" s="65" t="s">
        <v>17</v>
      </c>
      <c r="F38" s="70"/>
      <c r="G38" s="63"/>
      <c r="H38" s="65"/>
      <c r="I38" s="63"/>
      <c r="J38" s="63"/>
      <c r="K38" s="68"/>
      <c r="L38" s="54"/>
      <c r="M38" s="130" t="s">
        <v>35</v>
      </c>
      <c r="N38" s="123"/>
      <c r="O38" s="132">
        <f>IFERROR(VLOOKUP(N8,'Per Diem (USD$)'!B5:G11,6,FALSE),100)</f>
        <v>100</v>
      </c>
      <c r="P38" s="142">
        <f>VLOOKUP(N8,'Per Diem (Mixed Currency)'!B5:H14,7,FALSE)</f>
        <v>100</v>
      </c>
      <c r="Q38" s="143"/>
      <c r="S38" s="58"/>
    </row>
    <row r="39" spans="2:21" ht="12.75" customHeight="1" x14ac:dyDescent="0.2">
      <c r="B39" s="62" t="s">
        <v>42</v>
      </c>
      <c r="C39" s="70"/>
      <c r="D39" s="63"/>
      <c r="E39" s="65" t="s">
        <v>17</v>
      </c>
      <c r="F39" s="70"/>
      <c r="G39" s="63"/>
      <c r="H39" s="65" t="s">
        <v>47</v>
      </c>
      <c r="I39" s="76"/>
      <c r="J39" s="76"/>
      <c r="K39" s="68"/>
      <c r="M39" s="130" t="s">
        <v>48</v>
      </c>
      <c r="N39" s="124"/>
      <c r="O39" s="132">
        <f>ROUND(O38*0.5,1)</f>
        <v>50</v>
      </c>
      <c r="P39" s="142">
        <f>ROUND(P38*0.5,1)</f>
        <v>50</v>
      </c>
      <c r="Q39" s="143"/>
      <c r="S39" s="57" t="s">
        <v>49</v>
      </c>
      <c r="T39" s="56"/>
      <c r="U39" s="56"/>
    </row>
    <row r="40" spans="2:21" ht="12.75" customHeight="1" x14ac:dyDescent="0.2">
      <c r="B40" s="62" t="s">
        <v>42</v>
      </c>
      <c r="C40" s="70"/>
      <c r="D40" s="63"/>
      <c r="E40" s="65" t="s">
        <v>17</v>
      </c>
      <c r="F40" s="70"/>
      <c r="G40" s="63"/>
      <c r="H40" s="65"/>
      <c r="I40" s="63"/>
      <c r="J40" s="63"/>
      <c r="K40" s="68"/>
      <c r="M40" s="126"/>
      <c r="N40" s="124"/>
      <c r="O40" s="124"/>
      <c r="P40" s="124"/>
      <c r="Q40" s="125"/>
      <c r="S40" s="58"/>
    </row>
    <row r="41" spans="2:21" ht="12.75" customHeight="1" x14ac:dyDescent="0.2">
      <c r="B41" s="62" t="s">
        <v>42</v>
      </c>
      <c r="C41" s="70"/>
      <c r="D41" s="63"/>
      <c r="E41" s="65" t="s">
        <v>17</v>
      </c>
      <c r="F41" s="70"/>
      <c r="G41" s="63"/>
      <c r="H41" s="65" t="s">
        <v>50</v>
      </c>
      <c r="I41" s="69"/>
      <c r="J41" s="69"/>
      <c r="K41" s="68"/>
      <c r="M41" s="126"/>
      <c r="N41" s="124"/>
      <c r="O41" s="124"/>
      <c r="P41" s="124"/>
      <c r="Q41" s="125"/>
      <c r="S41" s="57" t="s">
        <v>14</v>
      </c>
      <c r="T41" s="55"/>
      <c r="U41" s="55"/>
    </row>
    <row r="42" spans="2:21" ht="12.75" customHeight="1" x14ac:dyDescent="0.2">
      <c r="B42" s="71"/>
      <c r="C42" s="72"/>
      <c r="D42" s="72"/>
      <c r="E42" s="72"/>
      <c r="F42" s="72"/>
      <c r="G42" s="72"/>
      <c r="H42" s="72"/>
      <c r="I42" s="72"/>
      <c r="J42" s="72"/>
      <c r="K42" s="68"/>
      <c r="M42" s="126"/>
      <c r="N42" s="124"/>
      <c r="O42" s="124"/>
      <c r="P42" s="124"/>
      <c r="Q42" s="125"/>
    </row>
    <row r="43" spans="2:21" ht="12.75" customHeight="1" x14ac:dyDescent="0.2">
      <c r="B43" s="73"/>
      <c r="C43" s="74"/>
      <c r="D43" s="74"/>
      <c r="E43" s="74"/>
      <c r="F43" s="74"/>
      <c r="G43" s="74"/>
      <c r="H43" s="74"/>
      <c r="I43" s="74"/>
      <c r="J43" s="74"/>
      <c r="K43" s="75"/>
      <c r="M43" s="127"/>
      <c r="N43" s="128"/>
      <c r="O43" s="128"/>
      <c r="P43" s="128"/>
      <c r="Q43" s="129"/>
    </row>
    <row r="44" spans="2:21" ht="12.75" customHeight="1" x14ac:dyDescent="0.2"/>
    <row r="45" spans="2:21" ht="12.75" customHeight="1" x14ac:dyDescent="0.2"/>
    <row r="46" spans="2:21" ht="12.75" customHeight="1" x14ac:dyDescent="0.2"/>
    <row r="47" spans="2:21" ht="12.75" customHeight="1" x14ac:dyDescent="0.2"/>
    <row r="48" spans="2:21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</sheetData>
  <mergeCells count="13">
    <mergeCell ref="P38:Q38"/>
    <mergeCell ref="P39:Q39"/>
    <mergeCell ref="P37:Q37"/>
    <mergeCell ref="V13:W13"/>
    <mergeCell ref="C34:D34"/>
    <mergeCell ref="C35:D35"/>
    <mergeCell ref="B31:E32"/>
    <mergeCell ref="M35:Q36"/>
    <mergeCell ref="N4:Q4"/>
    <mergeCell ref="N5:Q5"/>
    <mergeCell ref="N6:P6"/>
    <mergeCell ref="N10:P10"/>
    <mergeCell ref="N11:P11"/>
  </mergeCells>
  <dataValidations count="1">
    <dataValidation type="date" allowBlank="1" showInputMessage="1" showErrorMessage="1" sqref="C15:C29" xr:uid="{00000000-0002-0000-0000-000000000000}">
      <formula1>43466</formula1>
      <formula2>46387</formula2>
    </dataValidation>
  </dataValidations>
  <pageMargins left="0.7" right="0.7" top="0.75" bottom="0.75" header="0" footer="0"/>
  <pageSetup scale="48" orientation="landscape"/>
  <ignoredErrors>
    <ignoredError sqref="L22:L29" formula="1"/>
  </ignoredError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'Expense Descriptions'!$A$2:$A$17</xm:f>
          </x14:formula1>
          <xm:sqref>D15:D29</xm:sqref>
        </x14:dataValidation>
        <x14:dataValidation type="list" allowBlank="1" showInputMessage="1" showErrorMessage="1" xr:uid="{00000000-0002-0000-0000-000002000000}">
          <x14:formula1>
            <xm:f>'Expense Descriptions'!$M$2:$M$8</xm:f>
          </x14:formula1>
          <xm:sqref>N8:N9</xm:sqref>
        </x14:dataValidation>
        <x14:dataValidation type="list" allowBlank="1" showInputMessage="1" showErrorMessage="1" xr:uid="{00000000-0002-0000-0000-000003000000}">
          <x14:formula1>
            <xm:f>'Expense Descriptions'!$H$2:$H$8</xm:f>
          </x14:formula1>
          <xm:sqref>E15:E29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J13"/>
  <sheetViews>
    <sheetView zoomScaleNormal="100" workbookViewId="0">
      <selection activeCell="G1" sqref="B1:G1048576"/>
    </sheetView>
  </sheetViews>
  <sheetFormatPr defaultRowHeight="15" x14ac:dyDescent="0.25"/>
  <cols>
    <col min="2" max="2" width="24.140625" customWidth="1"/>
    <col min="3" max="3" width="12" hidden="1" customWidth="1"/>
    <col min="4" max="4" width="9.85546875" hidden="1" customWidth="1"/>
    <col min="5" max="5" width="12.5703125" hidden="1" customWidth="1"/>
    <col min="6" max="6" width="14.85546875" hidden="1" customWidth="1"/>
    <col min="7" max="7" width="18.140625" customWidth="1"/>
    <col min="10" max="10" width="12.5703125" hidden="1" customWidth="1"/>
  </cols>
  <sheetData>
    <row r="2" spans="2:10" ht="19.5" thickBot="1" x14ac:dyDescent="0.35">
      <c r="B2" s="89" t="s">
        <v>51</v>
      </c>
    </row>
    <row r="3" spans="2:10" ht="8.25" customHeight="1" x14ac:dyDescent="0.25">
      <c r="B3" s="90"/>
      <c r="C3" s="91"/>
      <c r="D3" s="156" t="s">
        <v>20</v>
      </c>
      <c r="E3" s="156" t="s">
        <v>21</v>
      </c>
      <c r="F3" s="156" t="s">
        <v>52</v>
      </c>
      <c r="G3" s="92"/>
    </row>
    <row r="4" spans="2:10" ht="68.25" customHeight="1" thickBot="1" x14ac:dyDescent="0.3">
      <c r="B4" s="93" t="s">
        <v>53</v>
      </c>
      <c r="C4" s="94" t="s">
        <v>19</v>
      </c>
      <c r="D4" s="157"/>
      <c r="E4" s="157"/>
      <c r="F4" s="157"/>
      <c r="G4" s="95" t="s">
        <v>54</v>
      </c>
      <c r="J4" s="96" t="s">
        <v>55</v>
      </c>
    </row>
    <row r="5" spans="2:10" ht="16.5" x14ac:dyDescent="0.25">
      <c r="B5" s="97" t="s">
        <v>56</v>
      </c>
      <c r="C5" s="98">
        <v>10</v>
      </c>
      <c r="D5" s="98">
        <v>15</v>
      </c>
      <c r="E5" s="98">
        <v>25</v>
      </c>
      <c r="F5" s="98">
        <v>5</v>
      </c>
      <c r="G5" s="99">
        <f>SUM(C5:F5)</f>
        <v>55</v>
      </c>
    </row>
    <row r="6" spans="2:10" ht="16.5" hidden="1" x14ac:dyDescent="0.25">
      <c r="B6" s="97"/>
      <c r="C6" s="98">
        <f>+C8/$J$7</f>
        <v>15.384615384615383</v>
      </c>
      <c r="D6" s="98">
        <f>+D8/$J$7</f>
        <v>19.23076923076923</v>
      </c>
      <c r="E6" s="98">
        <f>+E8/$J$7</f>
        <v>38.46153846153846</v>
      </c>
      <c r="F6" s="98">
        <f>+F8/$J$7</f>
        <v>3.8461538461538458</v>
      </c>
      <c r="G6" s="98">
        <f>+G8/$J$7</f>
        <v>76.92307692307692</v>
      </c>
    </row>
    <row r="7" spans="2:10" ht="16.5" x14ac:dyDescent="0.25">
      <c r="B7" s="97" t="s">
        <v>57</v>
      </c>
      <c r="C7" s="98">
        <v>15</v>
      </c>
      <c r="D7" s="98">
        <v>19</v>
      </c>
      <c r="E7" s="98">
        <v>38</v>
      </c>
      <c r="F7" s="98">
        <v>4</v>
      </c>
      <c r="G7" s="99">
        <f>SUM(C7:F7)</f>
        <v>76</v>
      </c>
      <c r="J7">
        <v>1.3</v>
      </c>
    </row>
    <row r="8" spans="2:10" ht="16.5" x14ac:dyDescent="0.25">
      <c r="B8" s="97" t="s">
        <v>9</v>
      </c>
      <c r="C8" s="98">
        <v>20</v>
      </c>
      <c r="D8" s="98">
        <v>25</v>
      </c>
      <c r="E8" s="98">
        <v>50</v>
      </c>
      <c r="F8" s="98">
        <v>5</v>
      </c>
      <c r="G8" s="99">
        <f>SUM(C8:F8)</f>
        <v>100</v>
      </c>
      <c r="J8">
        <v>1</v>
      </c>
    </row>
    <row r="9" spans="2:10" ht="16.5" x14ac:dyDescent="0.25">
      <c r="B9" s="97" t="s">
        <v>58</v>
      </c>
      <c r="C9" s="98">
        <v>20</v>
      </c>
      <c r="D9" s="98">
        <v>25</v>
      </c>
      <c r="E9" s="98">
        <v>50</v>
      </c>
      <c r="F9" s="98">
        <v>5</v>
      </c>
      <c r="G9" s="99">
        <f>SUM(C9:F9)</f>
        <v>100</v>
      </c>
    </row>
    <row r="10" spans="2:10" ht="16.5" x14ac:dyDescent="0.25">
      <c r="B10" s="97" t="s">
        <v>59</v>
      </c>
      <c r="C10" s="98">
        <v>20</v>
      </c>
      <c r="D10" s="98">
        <v>25</v>
      </c>
      <c r="E10" s="98">
        <v>50</v>
      </c>
      <c r="F10" s="98">
        <v>5</v>
      </c>
      <c r="G10" s="99">
        <f>SUM(C10:F10)</f>
        <v>100</v>
      </c>
      <c r="J10">
        <v>0.78</v>
      </c>
    </row>
    <row r="11" spans="2:10" ht="33.75" thickBot="1" x14ac:dyDescent="0.3">
      <c r="B11" s="100" t="s">
        <v>60</v>
      </c>
      <c r="C11" s="101">
        <v>20</v>
      </c>
      <c r="D11" s="101">
        <v>25</v>
      </c>
      <c r="E11" s="101">
        <v>50</v>
      </c>
      <c r="F11" s="101">
        <v>5</v>
      </c>
      <c r="G11" s="102">
        <f>SUM(C11:F11)</f>
        <v>100</v>
      </c>
      <c r="J11">
        <v>0.91</v>
      </c>
    </row>
    <row r="13" spans="2:10" x14ac:dyDescent="0.25">
      <c r="B13" s="103" t="s">
        <v>61</v>
      </c>
    </row>
  </sheetData>
  <mergeCells count="3">
    <mergeCell ref="D3:D4"/>
    <mergeCell ref="E3:E4"/>
    <mergeCell ref="F3:F4"/>
  </mergeCells>
  <pageMargins left="0.7" right="0.7" top="0.75" bottom="0.75" header="0.3" footer="0.3"/>
  <pageSetup scale="92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N16"/>
  <sheetViews>
    <sheetView zoomScaleNormal="100" workbookViewId="0">
      <selection activeCell="G1" sqref="D1:G1048576"/>
    </sheetView>
  </sheetViews>
  <sheetFormatPr defaultRowHeight="15" x14ac:dyDescent="0.25"/>
  <cols>
    <col min="2" max="2" width="24.140625" customWidth="1"/>
    <col min="3" max="3" width="12.5703125" style="121" customWidth="1"/>
    <col min="4" max="4" width="12" hidden="1" customWidth="1"/>
    <col min="5" max="5" width="14" hidden="1" customWidth="1"/>
    <col min="6" max="6" width="13.85546875" hidden="1" customWidth="1"/>
    <col min="7" max="7" width="14.85546875" hidden="1" customWidth="1"/>
    <col min="8" max="8" width="14.85546875" customWidth="1"/>
    <col min="10" max="10" width="9.85546875" bestFit="1" customWidth="1"/>
    <col min="11" max="11" width="12.5703125" customWidth="1"/>
  </cols>
  <sheetData>
    <row r="2" spans="2:14" ht="19.5" thickBot="1" x14ac:dyDescent="0.35">
      <c r="B2" s="89" t="s">
        <v>62</v>
      </c>
      <c r="C2" s="89"/>
    </row>
    <row r="3" spans="2:14" ht="8.25" customHeight="1" x14ac:dyDescent="0.25">
      <c r="B3" s="90"/>
      <c r="C3" s="104"/>
      <c r="D3" s="91"/>
      <c r="E3" s="156" t="s">
        <v>20</v>
      </c>
      <c r="F3" s="156" t="s">
        <v>21</v>
      </c>
      <c r="G3" s="156" t="s">
        <v>52</v>
      </c>
      <c r="H3" s="92"/>
    </row>
    <row r="4" spans="2:14" ht="68.25" customHeight="1" thickBot="1" x14ac:dyDescent="0.3">
      <c r="B4" s="93" t="s">
        <v>53</v>
      </c>
      <c r="C4" s="105" t="s">
        <v>63</v>
      </c>
      <c r="D4" s="94" t="s">
        <v>19</v>
      </c>
      <c r="E4" s="157"/>
      <c r="F4" s="157"/>
      <c r="G4" s="157"/>
      <c r="H4" s="95" t="s">
        <v>64</v>
      </c>
      <c r="K4" s="96" t="s">
        <v>55</v>
      </c>
    </row>
    <row r="5" spans="2:14" ht="16.5" x14ac:dyDescent="0.25">
      <c r="B5" s="97" t="s">
        <v>56</v>
      </c>
      <c r="C5" s="106" t="s">
        <v>65</v>
      </c>
      <c r="D5" s="107">
        <f>'Per Diem (USD$)'!C5*'Per Diem (Mixed Currency)'!$K5</f>
        <v>710</v>
      </c>
      <c r="E5" s="107">
        <f>'Per Diem (USD$)'!D5*'Per Diem (Mixed Currency)'!$K5</f>
        <v>1065</v>
      </c>
      <c r="F5" s="107">
        <f>'Per Diem (USD$)'!E5*'Per Diem (Mixed Currency)'!$K5</f>
        <v>1775</v>
      </c>
      <c r="G5" s="107">
        <f>'Per Diem (USD$)'!F5*'Per Diem (Mixed Currency)'!$K5</f>
        <v>355</v>
      </c>
      <c r="H5" s="108">
        <f>SUM(D5:G5)</f>
        <v>3905</v>
      </c>
      <c r="J5" s="109"/>
      <c r="K5">
        <v>71</v>
      </c>
    </row>
    <row r="6" spans="2:14" ht="16.5" hidden="1" x14ac:dyDescent="0.25">
      <c r="B6" s="97"/>
      <c r="C6" s="106"/>
      <c r="D6" s="110">
        <f>'Per Diem (USD$)'!C7*'Per Diem (Mixed Currency)'!$K7</f>
        <v>19.5</v>
      </c>
      <c r="E6" s="110">
        <f>'Per Diem (USD$)'!D7*'Per Diem (Mixed Currency)'!$K7</f>
        <v>24.7</v>
      </c>
      <c r="F6" s="110">
        <f>'Per Diem (USD$)'!E7*'Per Diem (Mixed Currency)'!$K7</f>
        <v>49.4</v>
      </c>
      <c r="G6" s="110">
        <f>'Per Diem (USD$)'!F7*'Per Diem (Mixed Currency)'!$K7</f>
        <v>5.2</v>
      </c>
      <c r="H6" s="110"/>
    </row>
    <row r="7" spans="2:14" ht="16.5" x14ac:dyDescent="0.25">
      <c r="B7" s="97" t="s">
        <v>57</v>
      </c>
      <c r="C7" s="106" t="s">
        <v>66</v>
      </c>
      <c r="D7" s="110">
        <v>20</v>
      </c>
      <c r="E7" s="110">
        <v>25</v>
      </c>
      <c r="F7" s="110">
        <v>50</v>
      </c>
      <c r="G7" s="110">
        <v>5</v>
      </c>
      <c r="H7" s="111">
        <f>SUM(D7:G7)</f>
        <v>100</v>
      </c>
      <c r="J7" s="109"/>
      <c r="K7">
        <v>1.3</v>
      </c>
      <c r="N7" s="109"/>
    </row>
    <row r="8" spans="2:14" ht="16.5" x14ac:dyDescent="0.25">
      <c r="B8" s="97" t="s">
        <v>9</v>
      </c>
      <c r="C8" s="106" t="s">
        <v>44</v>
      </c>
      <c r="D8" s="110">
        <v>20</v>
      </c>
      <c r="E8" s="110">
        <v>25</v>
      </c>
      <c r="F8" s="110">
        <v>50</v>
      </c>
      <c r="G8" s="110">
        <v>5</v>
      </c>
      <c r="H8" s="111">
        <f>SUM(D8:G8)</f>
        <v>100</v>
      </c>
      <c r="K8">
        <v>1</v>
      </c>
    </row>
    <row r="9" spans="2:14" ht="16.5" hidden="1" x14ac:dyDescent="0.25">
      <c r="B9" s="97"/>
      <c r="C9" s="106"/>
      <c r="D9" s="110">
        <f>'Per Diem (USD$)'!C9*'Per Diem (Mixed Currency)'!$K10</f>
        <v>1270</v>
      </c>
      <c r="E9" s="110">
        <f>'Per Diem (USD$)'!D9*'Per Diem (Mixed Currency)'!$K10</f>
        <v>1587.5</v>
      </c>
      <c r="F9" s="110">
        <f>'Per Diem (USD$)'!E9*'Per Diem (Mixed Currency)'!$K10</f>
        <v>3175</v>
      </c>
      <c r="G9" s="110">
        <f>'Per Diem (USD$)'!F9*'Per Diem (Mixed Currency)'!$K10</f>
        <v>317.5</v>
      </c>
      <c r="H9" s="111"/>
    </row>
    <row r="10" spans="2:14" ht="16.5" x14ac:dyDescent="0.25">
      <c r="B10" s="97" t="s">
        <v>58</v>
      </c>
      <c r="C10" s="106" t="s">
        <v>67</v>
      </c>
      <c r="D10" s="112">
        <v>950</v>
      </c>
      <c r="E10" s="112">
        <v>1250</v>
      </c>
      <c r="F10" s="112">
        <v>2550</v>
      </c>
      <c r="G10" s="112">
        <v>320</v>
      </c>
      <c r="H10" s="113">
        <f>SUM(D10:G10)</f>
        <v>5070</v>
      </c>
      <c r="J10" s="109"/>
      <c r="K10">
        <v>63.5</v>
      </c>
    </row>
    <row r="11" spans="2:14" ht="16.5" hidden="1" x14ac:dyDescent="0.25">
      <c r="B11" s="97"/>
      <c r="C11" s="106"/>
      <c r="D11" s="114">
        <f>'Per Diem (USD$)'!C10*'Per Diem (Mixed Currency)'!$K12</f>
        <v>15.600000000000001</v>
      </c>
      <c r="E11" s="114">
        <f>'Per Diem (USD$)'!D10*'Per Diem (Mixed Currency)'!$K12</f>
        <v>19.5</v>
      </c>
      <c r="F11" s="114">
        <f>'Per Diem (USD$)'!E10*'Per Diem (Mixed Currency)'!$K12</f>
        <v>39</v>
      </c>
      <c r="G11" s="114">
        <f>'Per Diem (USD$)'!F10*'Per Diem (Mixed Currency)'!$K12</f>
        <v>3.9000000000000004</v>
      </c>
      <c r="H11" s="115"/>
      <c r="J11" s="109"/>
    </row>
    <row r="12" spans="2:14" ht="16.5" x14ac:dyDescent="0.25">
      <c r="B12" s="97" t="s">
        <v>59</v>
      </c>
      <c r="C12" s="106" t="s">
        <v>68</v>
      </c>
      <c r="D12" s="116">
        <v>15</v>
      </c>
      <c r="E12" s="116">
        <v>20</v>
      </c>
      <c r="F12" s="116">
        <v>40</v>
      </c>
      <c r="G12" s="116">
        <v>4</v>
      </c>
      <c r="H12" s="117">
        <f>SUM(D12:G12)</f>
        <v>79</v>
      </c>
      <c r="K12">
        <v>0.78</v>
      </c>
    </row>
    <row r="13" spans="2:14" ht="16.5" hidden="1" x14ac:dyDescent="0.25">
      <c r="B13" s="97"/>
      <c r="C13" s="106"/>
      <c r="D13" s="114">
        <f>'Per Diem (USD$)'!C11*'Per Diem (Mixed Currency)'!$K14</f>
        <v>18.2</v>
      </c>
      <c r="E13" s="114">
        <f>'Per Diem (USD$)'!D11*'Per Diem (Mixed Currency)'!$K14</f>
        <v>22.75</v>
      </c>
      <c r="F13" s="114">
        <f>'Per Diem (USD$)'!E11*'Per Diem (Mixed Currency)'!$K14</f>
        <v>45.5</v>
      </c>
      <c r="G13" s="114">
        <f>'Per Diem (USD$)'!F11*'Per Diem (Mixed Currency)'!$K14</f>
        <v>4.55</v>
      </c>
      <c r="H13" s="115"/>
    </row>
    <row r="14" spans="2:14" ht="33.75" thickBot="1" x14ac:dyDescent="0.3">
      <c r="B14" s="100" t="s">
        <v>60</v>
      </c>
      <c r="C14" s="118" t="s">
        <v>69</v>
      </c>
      <c r="D14" s="119">
        <v>18</v>
      </c>
      <c r="E14" s="119">
        <v>23</v>
      </c>
      <c r="F14" s="119">
        <v>45</v>
      </c>
      <c r="G14" s="119">
        <v>4.5</v>
      </c>
      <c r="H14" s="120">
        <f>SUM(D14:G14)</f>
        <v>90.5</v>
      </c>
      <c r="J14" s="109"/>
      <c r="K14">
        <v>0.91</v>
      </c>
    </row>
    <row r="16" spans="2:14" x14ac:dyDescent="0.25">
      <c r="B16" s="103" t="s">
        <v>61</v>
      </c>
      <c r="C16" s="103"/>
    </row>
  </sheetData>
  <mergeCells count="3">
    <mergeCell ref="E3:E4"/>
    <mergeCell ref="F3:F4"/>
    <mergeCell ref="G3:G4"/>
  </mergeCells>
  <pageMargins left="0.7" right="0.7" top="0.75" bottom="0.75" header="0.3" footer="0.3"/>
  <pageSetup scale="7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6"/>
  <sheetViews>
    <sheetView workbookViewId="0">
      <selection activeCell="M9" sqref="M9"/>
    </sheetView>
  </sheetViews>
  <sheetFormatPr defaultRowHeight="15" x14ac:dyDescent="0.25"/>
  <sheetData>
    <row r="1" spans="1:13" x14ac:dyDescent="0.25">
      <c r="A1" s="28" t="s">
        <v>70</v>
      </c>
      <c r="H1" s="28" t="s">
        <v>71</v>
      </c>
      <c r="M1" s="28" t="s">
        <v>72</v>
      </c>
    </row>
    <row r="2" spans="1:13" x14ac:dyDescent="0.25">
      <c r="A2" t="s">
        <v>35</v>
      </c>
      <c r="H2" t="s">
        <v>73</v>
      </c>
      <c r="M2" t="s">
        <v>56</v>
      </c>
    </row>
    <row r="3" spans="1:13" x14ac:dyDescent="0.25">
      <c r="A3" t="s">
        <v>48</v>
      </c>
      <c r="H3" t="s">
        <v>36</v>
      </c>
      <c r="M3" t="s">
        <v>57</v>
      </c>
    </row>
    <row r="4" spans="1:13" x14ac:dyDescent="0.25">
      <c r="A4" t="s">
        <v>19</v>
      </c>
      <c r="H4" t="s">
        <v>69</v>
      </c>
      <c r="M4" t="s">
        <v>9</v>
      </c>
    </row>
    <row r="5" spans="1:13" x14ac:dyDescent="0.25">
      <c r="A5" t="s">
        <v>20</v>
      </c>
      <c r="H5" t="s">
        <v>68</v>
      </c>
      <c r="M5" t="s">
        <v>58</v>
      </c>
    </row>
    <row r="6" spans="1:13" x14ac:dyDescent="0.25">
      <c r="A6" t="s">
        <v>21</v>
      </c>
      <c r="H6" s="80" t="s">
        <v>74</v>
      </c>
      <c r="J6" s="82"/>
      <c r="M6" t="s">
        <v>59</v>
      </c>
    </row>
    <row r="7" spans="1:13" x14ac:dyDescent="0.25">
      <c r="A7" t="s">
        <v>22</v>
      </c>
      <c r="H7" s="81" t="s">
        <v>75</v>
      </c>
      <c r="M7" t="s">
        <v>76</v>
      </c>
    </row>
    <row r="8" spans="1:13" x14ac:dyDescent="0.25">
      <c r="A8" t="s">
        <v>25</v>
      </c>
      <c r="H8" s="81" t="s">
        <v>65</v>
      </c>
      <c r="M8" t="s">
        <v>77</v>
      </c>
    </row>
    <row r="9" spans="1:13" x14ac:dyDescent="0.25">
      <c r="A9" t="s">
        <v>18</v>
      </c>
    </row>
    <row r="10" spans="1:13" x14ac:dyDescent="0.25">
      <c r="A10" t="s">
        <v>26</v>
      </c>
    </row>
    <row r="11" spans="1:13" x14ac:dyDescent="0.25">
      <c r="A11" t="s">
        <v>29</v>
      </c>
    </row>
    <row r="12" spans="1:13" x14ac:dyDescent="0.25">
      <c r="A12" t="s">
        <v>30</v>
      </c>
    </row>
    <row r="13" spans="1:13" x14ac:dyDescent="0.25">
      <c r="A13" t="s">
        <v>27</v>
      </c>
    </row>
    <row r="14" spans="1:13" x14ac:dyDescent="0.25">
      <c r="A14" t="s">
        <v>52</v>
      </c>
    </row>
    <row r="15" spans="1:13" x14ac:dyDescent="0.25">
      <c r="A15" t="s">
        <v>28</v>
      </c>
    </row>
    <row r="16" spans="1:13" x14ac:dyDescent="0.25">
      <c r="A16" t="s">
        <v>31</v>
      </c>
    </row>
  </sheetData>
  <sortState xmlns:xlrd2="http://schemas.microsoft.com/office/spreadsheetml/2017/richdata2" ref="A2:A14">
    <sortCondition ref="A2:A14"/>
  </sortState>
  <dataValidations count="1">
    <dataValidation type="list" allowBlank="1" showInputMessage="1" showErrorMessage="1" sqref="F13" xr:uid="{00000000-0002-0000-0300-000000000000}">
      <formula1>$A$4:$A$15</formula1>
    </dataValidation>
  </dataValidations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Expense report</vt:lpstr>
      <vt:lpstr>Per Diem (USD$)</vt:lpstr>
      <vt:lpstr>Per Diem (Mixed Currency)</vt:lpstr>
      <vt:lpstr>Expense Descriptions</vt:lpstr>
      <vt:lpstr>'Per Diem (Mixed Currency)'!Print_Area</vt:lpstr>
      <vt:lpstr>'Per Diem (USD$)'!Print_Area</vt:lpstr>
    </vt:vector>
  </TitlesOfParts>
  <Manager/>
  <Company>Evertz Microsystems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2019-10-30T13:36:02Z</dcterms:created>
  <dcterms:modified xsi:type="dcterms:W3CDTF">2026-03-11T16:25:43Z</dcterms:modified>
  <cp:category/>
  <cp:contentStatus/>
</cp:coreProperties>
</file>